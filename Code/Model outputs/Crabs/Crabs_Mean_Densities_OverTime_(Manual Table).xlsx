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inosa\Documents\Git\Oregon_Population_Model_ORPM\Code\model outputs\Crabs\"/>
    </mc:Choice>
  </mc:AlternateContent>
  <xr:revisionPtr revIDLastSave="0" documentId="13_ncr:1_{EA3A741C-07D2-4E40-B2AC-9CEA2DB2A2D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ls" sheetId="5" r:id="rId1"/>
    <sheet name="Compact Results" sheetId="6" r:id="rId2"/>
    <sheet name="No Otters" sheetId="1" r:id="rId3"/>
    <sheet name="Otters, phi = 0" sheetId="2" r:id="rId4"/>
    <sheet name="Otters, phi = 1" sheetId="3" r:id="rId5"/>
    <sheet name="Otters, phi = 2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D6" i="6"/>
  <c r="C6" i="6"/>
  <c r="B6" i="6"/>
  <c r="B14" i="6" s="1"/>
  <c r="E5" i="6"/>
  <c r="D5" i="6"/>
  <c r="C5" i="6"/>
  <c r="B5" i="6"/>
  <c r="B13" i="6" s="1"/>
  <c r="E4" i="6"/>
  <c r="D4" i="6"/>
  <c r="C4" i="6"/>
  <c r="B4" i="6"/>
  <c r="B12" i="6" s="1"/>
  <c r="E3" i="6"/>
  <c r="D3" i="6"/>
  <c r="C3" i="6"/>
  <c r="B3" i="6"/>
  <c r="B11" i="6" s="1"/>
  <c r="F14" i="5"/>
  <c r="K14" i="5"/>
  <c r="L14" i="5"/>
  <c r="M14" i="5"/>
  <c r="K15" i="5"/>
  <c r="L15" i="5"/>
  <c r="M15" i="5"/>
  <c r="K16" i="5"/>
  <c r="L16" i="5"/>
  <c r="M16" i="5"/>
  <c r="L13" i="5"/>
  <c r="M13" i="5"/>
  <c r="H14" i="5"/>
  <c r="I14" i="5"/>
  <c r="J14" i="5"/>
  <c r="H15" i="5"/>
  <c r="I15" i="5"/>
  <c r="J15" i="5"/>
  <c r="H16" i="5"/>
  <c r="I16" i="5"/>
  <c r="J16" i="5"/>
  <c r="I13" i="5"/>
  <c r="J13" i="5"/>
  <c r="G14" i="5"/>
  <c r="F15" i="5"/>
  <c r="G15" i="5"/>
  <c r="F16" i="5"/>
  <c r="G16" i="5"/>
  <c r="F13" i="5"/>
  <c r="E13" i="5"/>
  <c r="G13" i="5"/>
  <c r="B14" i="5"/>
  <c r="C14" i="5"/>
  <c r="D14" i="5"/>
  <c r="B15" i="5"/>
  <c r="C15" i="5"/>
  <c r="D15" i="5"/>
  <c r="B16" i="5"/>
  <c r="C16" i="5"/>
  <c r="D16" i="5"/>
  <c r="C13" i="5"/>
  <c r="D13" i="5"/>
  <c r="L5" i="5"/>
  <c r="M5" i="5"/>
  <c r="L6" i="5"/>
  <c r="M6" i="5"/>
  <c r="L7" i="5"/>
  <c r="M7" i="5"/>
  <c r="M4" i="5"/>
  <c r="L4" i="5"/>
  <c r="I5" i="5"/>
  <c r="J5" i="5"/>
  <c r="I6" i="5"/>
  <c r="J6" i="5"/>
  <c r="I7" i="5"/>
  <c r="J7" i="5"/>
  <c r="J4" i="5"/>
  <c r="I4" i="5"/>
  <c r="F5" i="5"/>
  <c r="G5" i="5"/>
  <c r="F6" i="5"/>
  <c r="G6" i="5"/>
  <c r="F7" i="5"/>
  <c r="G7" i="5"/>
  <c r="G4" i="5"/>
  <c r="F4" i="5"/>
  <c r="C5" i="5"/>
  <c r="D5" i="5"/>
  <c r="C6" i="5"/>
  <c r="D6" i="5"/>
  <c r="C7" i="5"/>
  <c r="D7" i="5"/>
  <c r="D4" i="5"/>
  <c r="C4" i="5"/>
  <c r="K5" i="5"/>
  <c r="K6" i="5"/>
  <c r="K7" i="5"/>
  <c r="K4" i="5"/>
  <c r="K13" i="5" s="1"/>
  <c r="H5" i="5"/>
  <c r="H6" i="5"/>
  <c r="H7" i="5"/>
  <c r="H4" i="5"/>
  <c r="H13" i="5" s="1"/>
  <c r="E5" i="5"/>
  <c r="E6" i="5"/>
  <c r="E7" i="5"/>
  <c r="E4" i="5"/>
  <c r="B5" i="5"/>
  <c r="B6" i="5"/>
  <c r="B7" i="5"/>
  <c r="B4" i="5"/>
  <c r="B13" i="5" s="1"/>
  <c r="D12" i="6" l="1"/>
  <c r="C14" i="6"/>
  <c r="E11" i="6"/>
  <c r="D11" i="6"/>
  <c r="E12" i="6"/>
  <c r="C13" i="6"/>
  <c r="D14" i="6"/>
  <c r="C12" i="6"/>
  <c r="D13" i="6"/>
  <c r="E14" i="6"/>
  <c r="C11" i="6"/>
  <c r="E13" i="6"/>
  <c r="E16" i="5"/>
  <c r="E14" i="5"/>
  <c r="E15" i="5"/>
</calcChain>
</file>

<file path=xl/sharedStrings.xml><?xml version="1.0" encoding="utf-8"?>
<sst xmlns="http://schemas.openxmlformats.org/spreadsheetml/2006/main" count="80" uniqueCount="17">
  <si>
    <t>Time (Years)</t>
  </si>
  <si>
    <t>Mean Fishable Crabs</t>
  </si>
  <si>
    <t>Q 5% Fishable Crabs</t>
  </si>
  <si>
    <t>Q 95% Fishable Crabs</t>
  </si>
  <si>
    <t>Period</t>
  </si>
  <si>
    <t>Baseline (no-otters)</t>
  </si>
  <si>
    <t>Sea otters (ϕ = 0)</t>
  </si>
  <si>
    <t>Sea otters (ϕ = 1)</t>
  </si>
  <si>
    <t>Mean</t>
  </si>
  <si>
    <t>Fishable Crab Densities (kh/ha) Across all Simulations</t>
  </si>
  <si>
    <t>Q 5%</t>
  </si>
  <si>
    <t>Q 95%</t>
  </si>
  <si>
    <t xml:space="preserve">Catch Reduction % Mean Fishable Crab Densities (kh/ha) </t>
  </si>
  <si>
    <t>Year 5 - 10</t>
  </si>
  <si>
    <t>Year 10 - 15</t>
  </si>
  <si>
    <t>Year 15 - 20</t>
  </si>
  <si>
    <t>Year 20 - 25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</si>
</sst>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FD6A-6A24-4CCB-806A-B57D2DCC83F4}">
  <dimension ref="A1:M16"/>
  <sheetViews>
    <sheetView workbookViewId="0">
      <selection activeCell="A18" sqref="A18"/>
    </sheetView>
  </sheetViews>
  <sheetFormatPr defaultRowHeight="14.5" x14ac:dyDescent="0.35"/>
  <cols>
    <col min="1" max="1" width="14.81640625" bestFit="1" customWidth="1"/>
    <col min="2" max="14" width="9.26953125" customWidth="1"/>
  </cols>
  <sheetData>
    <row r="1" spans="1:13" x14ac:dyDescent="0.35">
      <c r="B1" s="7" t="s">
        <v>9</v>
      </c>
      <c r="C1" s="7"/>
      <c r="D1" s="7"/>
      <c r="E1" s="7"/>
      <c r="F1" s="7"/>
      <c r="G1" s="7"/>
      <c r="H1" s="7"/>
      <c r="I1" s="7"/>
      <c r="J1" s="7"/>
      <c r="K1" s="7"/>
    </row>
    <row r="2" spans="1:13" x14ac:dyDescent="0.35">
      <c r="A2" s="6" t="s">
        <v>4</v>
      </c>
      <c r="B2" s="5" t="s">
        <v>5</v>
      </c>
      <c r="C2" s="5"/>
      <c r="D2" s="5"/>
      <c r="E2" s="5" t="s">
        <v>6</v>
      </c>
      <c r="F2" s="5"/>
      <c r="G2" s="5"/>
      <c r="H2" s="5" t="s">
        <v>7</v>
      </c>
      <c r="I2" s="5"/>
      <c r="J2" s="5"/>
      <c r="K2" s="5" t="s">
        <v>7</v>
      </c>
      <c r="L2" s="5"/>
      <c r="M2" s="5"/>
    </row>
    <row r="3" spans="1:13" x14ac:dyDescent="0.35">
      <c r="A3" s="6"/>
      <c r="B3" s="3" t="s">
        <v>8</v>
      </c>
      <c r="C3" s="3" t="s">
        <v>10</v>
      </c>
      <c r="D3" s="3" t="s">
        <v>11</v>
      </c>
      <c r="E3" s="3" t="s">
        <v>8</v>
      </c>
      <c r="F3" s="3" t="s">
        <v>10</v>
      </c>
      <c r="G3" s="3" t="s">
        <v>11</v>
      </c>
      <c r="H3" s="3" t="s">
        <v>8</v>
      </c>
      <c r="I3" s="3" t="s">
        <v>10</v>
      </c>
      <c r="J3" s="3" t="s">
        <v>11</v>
      </c>
      <c r="K3" s="3" t="s">
        <v>8</v>
      </c>
      <c r="L3" s="3" t="s">
        <v>10</v>
      </c>
      <c r="M3" s="3" t="s">
        <v>11</v>
      </c>
    </row>
    <row r="4" spans="1:13" x14ac:dyDescent="0.35">
      <c r="A4" s="1" t="s">
        <v>13</v>
      </c>
      <c r="B4" s="1">
        <f>'No Otters'!C2</f>
        <v>536.62729999999999</v>
      </c>
      <c r="C4" s="1">
        <f>'No Otters'!D2</f>
        <v>173.60669999999999</v>
      </c>
      <c r="D4" s="1">
        <f>'No Otters'!E2</f>
        <v>1236.3586</v>
      </c>
      <c r="E4" s="1">
        <f>'Otters, phi = 0'!C2</f>
        <v>310.15469999999999</v>
      </c>
      <c r="F4" s="1">
        <f>'Otters, phi = 0'!D2</f>
        <v>38.100099999999998</v>
      </c>
      <c r="G4" s="1">
        <f>'Otters, phi = 0'!E2</f>
        <v>924.27750000000003</v>
      </c>
      <c r="H4" s="1">
        <f>'Otters, phi = 1'!C2</f>
        <v>311.89569999999998</v>
      </c>
      <c r="I4" s="1">
        <f>'Otters, phi = 1'!D2</f>
        <v>42.4818</v>
      </c>
      <c r="J4" s="1">
        <f>'Otters, phi = 1'!E2</f>
        <v>923.08749999999998</v>
      </c>
      <c r="K4" s="1">
        <f>'Otters, phi = 2'!C2</f>
        <v>319.31650000000002</v>
      </c>
      <c r="L4" s="1">
        <f>'Otters, phi = 2'!D2</f>
        <v>58.191699999999997</v>
      </c>
      <c r="M4" s="1">
        <f>'Otters, phi = 2'!E2</f>
        <v>922.80899999999997</v>
      </c>
    </row>
    <row r="5" spans="1:13" x14ac:dyDescent="0.35">
      <c r="A5" s="1" t="s">
        <v>14</v>
      </c>
      <c r="B5" s="1">
        <f>'No Otters'!C3</f>
        <v>556.96690000000001</v>
      </c>
      <c r="C5" s="1">
        <f>'No Otters'!D3</f>
        <v>161.37629999999999</v>
      </c>
      <c r="D5" s="1">
        <f>'No Otters'!E3</f>
        <v>1323.4123</v>
      </c>
      <c r="E5" s="1">
        <f>'Otters, phi = 0'!C3</f>
        <v>339.81330000000003</v>
      </c>
      <c r="F5" s="1">
        <f>'Otters, phi = 0'!D3</f>
        <v>0</v>
      </c>
      <c r="G5" s="1">
        <f>'Otters, phi = 0'!E3</f>
        <v>1236.7985000000001</v>
      </c>
      <c r="H5" s="1">
        <f>'Otters, phi = 1'!C3</f>
        <v>352.8143</v>
      </c>
      <c r="I5" s="1">
        <f>'Otters, phi = 1'!D3</f>
        <v>6.18</v>
      </c>
      <c r="J5" s="1">
        <f>'Otters, phi = 1'!E3</f>
        <v>1236.7656999999999</v>
      </c>
      <c r="K5" s="1">
        <f>'Otters, phi = 2'!C3</f>
        <v>382.0532</v>
      </c>
      <c r="L5" s="1">
        <f>'Otters, phi = 2'!D3</f>
        <v>46.018799999999999</v>
      </c>
      <c r="M5" s="1">
        <f>'Otters, phi = 2'!E3</f>
        <v>1243.5432000000001</v>
      </c>
    </row>
    <row r="6" spans="1:13" x14ac:dyDescent="0.35">
      <c r="A6" s="1" t="s">
        <v>15</v>
      </c>
      <c r="B6" s="1">
        <f>'No Otters'!C4</f>
        <v>548.22239999999999</v>
      </c>
      <c r="C6" s="1">
        <f>'No Otters'!D4</f>
        <v>160.52420000000001</v>
      </c>
      <c r="D6" s="1">
        <f>'No Otters'!E4</f>
        <v>1290.4683</v>
      </c>
      <c r="E6" s="1">
        <f>'Otters, phi = 0'!C4</f>
        <v>313.61919999999998</v>
      </c>
      <c r="F6" s="1">
        <f>'Otters, phi = 0'!D4</f>
        <v>0</v>
      </c>
      <c r="G6" s="1">
        <f>'Otters, phi = 0'!E4</f>
        <v>1185.1867999999999</v>
      </c>
      <c r="H6" s="1">
        <f>'Otters, phi = 1'!C4</f>
        <v>323.40769999999998</v>
      </c>
      <c r="I6" s="1">
        <f>'Otters, phi = 1'!D4</f>
        <v>3.0062000000000002</v>
      </c>
      <c r="J6" s="1">
        <f>'Otters, phi = 1'!E4</f>
        <v>1177.2532000000001</v>
      </c>
      <c r="K6" s="1">
        <f>'Otters, phi = 2'!C4</f>
        <v>346.45769999999999</v>
      </c>
      <c r="L6" s="1">
        <f>'Otters, phi = 2'!D4</f>
        <v>34.112099999999998</v>
      </c>
      <c r="M6" s="1">
        <f>'Otters, phi = 2'!E4</f>
        <v>1165.3444999999999</v>
      </c>
    </row>
    <row r="7" spans="1:13" x14ac:dyDescent="0.35">
      <c r="A7" s="1" t="s">
        <v>16</v>
      </c>
      <c r="B7" s="1">
        <f>'No Otters'!C5</f>
        <v>542.29079999999999</v>
      </c>
      <c r="C7" s="1">
        <f>'No Otters'!D5</f>
        <v>153.2568</v>
      </c>
      <c r="D7" s="1">
        <f>'No Otters'!E5</f>
        <v>1279.9013</v>
      </c>
      <c r="E7" s="1">
        <f>'Otters, phi = 0'!C5</f>
        <v>212.9871</v>
      </c>
      <c r="F7" s="1">
        <f>'Otters, phi = 0'!D5</f>
        <v>0</v>
      </c>
      <c r="G7" s="1">
        <f>'Otters, phi = 0'!E5</f>
        <v>971.90779999999995</v>
      </c>
      <c r="H7" s="1">
        <f>'Otters, phi = 1'!C5</f>
        <v>219.49930000000001</v>
      </c>
      <c r="I7" s="1">
        <f>'Otters, phi = 1'!D5</f>
        <v>0.47139999999999999</v>
      </c>
      <c r="J7" s="1">
        <f>'Otters, phi = 1'!E5</f>
        <v>966.61450000000002</v>
      </c>
      <c r="K7" s="1">
        <f>'Otters, phi = 2'!C5</f>
        <v>245.4323</v>
      </c>
      <c r="L7" s="1">
        <f>'Otters, phi = 2'!D5</f>
        <v>19.209499999999998</v>
      </c>
      <c r="M7" s="1">
        <f>'Otters, phi = 2'!E5</f>
        <v>967.54840000000002</v>
      </c>
    </row>
    <row r="10" spans="1:13" x14ac:dyDescent="0.35">
      <c r="B10" s="8" t="s">
        <v>12</v>
      </c>
      <c r="C10" s="8"/>
      <c r="D10" s="8"/>
      <c r="E10" s="8"/>
      <c r="F10" s="8"/>
      <c r="G10" s="8"/>
      <c r="H10" s="8"/>
      <c r="I10" s="8"/>
      <c r="J10" s="8"/>
      <c r="K10" s="8"/>
    </row>
    <row r="11" spans="1:13" x14ac:dyDescent="0.35">
      <c r="A11" s="6" t="s">
        <v>4</v>
      </c>
      <c r="B11" s="5" t="s">
        <v>5</v>
      </c>
      <c r="C11" s="5"/>
      <c r="D11" s="5"/>
      <c r="E11" s="5" t="s">
        <v>6</v>
      </c>
      <c r="F11" s="5"/>
      <c r="G11" s="5"/>
      <c r="H11" s="5" t="s">
        <v>7</v>
      </c>
      <c r="I11" s="5"/>
      <c r="J11" s="5"/>
      <c r="K11" s="5" t="s">
        <v>7</v>
      </c>
      <c r="L11" s="5"/>
      <c r="M11" s="5"/>
    </row>
    <row r="12" spans="1:13" x14ac:dyDescent="0.35">
      <c r="A12" s="6"/>
      <c r="B12" s="3" t="s">
        <v>8</v>
      </c>
      <c r="C12" s="3" t="s">
        <v>10</v>
      </c>
      <c r="D12" s="3" t="s">
        <v>11</v>
      </c>
      <c r="E12" s="3" t="s">
        <v>8</v>
      </c>
      <c r="F12" s="3" t="s">
        <v>10</v>
      </c>
      <c r="G12" s="3" t="s">
        <v>11</v>
      </c>
      <c r="H12" s="3" t="s">
        <v>8</v>
      </c>
      <c r="I12" s="3" t="s">
        <v>10</v>
      </c>
      <c r="J12" s="3" t="s">
        <v>11</v>
      </c>
      <c r="K12" s="3" t="s">
        <v>8</v>
      </c>
      <c r="L12" s="3" t="s">
        <v>10</v>
      </c>
      <c r="M12" s="3" t="s">
        <v>11</v>
      </c>
    </row>
    <row r="13" spans="1:13" x14ac:dyDescent="0.35">
      <c r="A13" s="1" t="s">
        <v>13</v>
      </c>
      <c r="B13" s="1">
        <f>B4</f>
        <v>536.62729999999999</v>
      </c>
      <c r="C13" s="1">
        <f t="shared" ref="C13:D13" si="0">C4</f>
        <v>173.60669999999999</v>
      </c>
      <c r="D13" s="1">
        <f t="shared" si="0"/>
        <v>1236.3586</v>
      </c>
      <c r="E13" s="2">
        <f>1-(E4*100%)/B4</f>
        <v>0.42202959111472715</v>
      </c>
      <c r="F13" s="2">
        <f>1-(F4*100%)/C4</f>
        <v>0.78053784790563963</v>
      </c>
      <c r="G13" s="2">
        <f t="shared" ref="G13" si="1">1-(G4*100%)/D4</f>
        <v>0.25241956500322804</v>
      </c>
      <c r="H13" s="2">
        <f>1-(H4*100%)/B4</f>
        <v>0.41878525375060127</v>
      </c>
      <c r="I13" s="2">
        <f t="shared" ref="I13:J13" si="2">1-(I4*100%)/C4</f>
        <v>0.75529861462720049</v>
      </c>
      <c r="J13" s="2">
        <f t="shared" si="2"/>
        <v>0.25338206892401605</v>
      </c>
      <c r="K13" s="2">
        <f>1-(K4*100%)/B4</f>
        <v>0.40495666172779499</v>
      </c>
      <c r="L13" s="2">
        <f t="shared" ref="L13:M13" si="3">1-(L4*100%)/C4</f>
        <v>0.66480729142366046</v>
      </c>
      <c r="M13" s="2">
        <f t="shared" si="3"/>
        <v>0.25360732719455348</v>
      </c>
    </row>
    <row r="14" spans="1:13" x14ac:dyDescent="0.35">
      <c r="A14" s="1" t="s">
        <v>14</v>
      </c>
      <c r="B14" s="1">
        <f t="shared" ref="B14:D14" si="4">B5</f>
        <v>556.96690000000001</v>
      </c>
      <c r="C14" s="1">
        <f t="shared" si="4"/>
        <v>161.37629999999999</v>
      </c>
      <c r="D14" s="1">
        <f t="shared" si="4"/>
        <v>1323.4123</v>
      </c>
      <c r="E14" s="2">
        <f>1-(E5*100%)/B5</f>
        <v>0.3898860057931629</v>
      </c>
      <c r="F14" s="2">
        <f>1-(F5*100%)/C5</f>
        <v>1</v>
      </c>
      <c r="G14" s="2">
        <f t="shared" ref="G14:G16" si="5">1-(G5*100%)/D5</f>
        <v>6.544732884831117E-2</v>
      </c>
      <c r="H14" s="2">
        <f t="shared" ref="H14:H16" si="6">1-(H5*100%)/B5</f>
        <v>0.36654350554763671</v>
      </c>
      <c r="I14" s="2">
        <f t="shared" ref="I14:I16" si="7">1-(I5*100%)/C5</f>
        <v>0.9617044138451557</v>
      </c>
      <c r="J14" s="2">
        <f t="shared" ref="J14:J16" si="8">1-(J5*100%)/D5</f>
        <v>6.5472113263568721E-2</v>
      </c>
      <c r="K14" s="2">
        <f t="shared" ref="K14:K16" si="9">1-(K5*100%)/B5</f>
        <v>0.31404684910360026</v>
      </c>
      <c r="L14" s="2">
        <f t="shared" ref="L14:L16" si="10">1-(L5*100%)/C5</f>
        <v>0.71483544981512148</v>
      </c>
      <c r="M14" s="2">
        <f t="shared" ref="M14:M16" si="11">1-(M5*100%)/D5</f>
        <v>6.035088233651742E-2</v>
      </c>
    </row>
    <row r="15" spans="1:13" x14ac:dyDescent="0.35">
      <c r="A15" s="1" t="s">
        <v>15</v>
      </c>
      <c r="B15" s="1">
        <f t="shared" ref="B15:D15" si="12">B6</f>
        <v>548.22239999999999</v>
      </c>
      <c r="C15" s="1">
        <f t="shared" si="12"/>
        <v>160.52420000000001</v>
      </c>
      <c r="D15" s="1">
        <f t="shared" si="12"/>
        <v>1290.4683</v>
      </c>
      <c r="E15" s="2">
        <f>1-(E6*100%)/B6</f>
        <v>0.42793435656769951</v>
      </c>
      <c r="F15" s="2">
        <f t="shared" ref="F15:F16" si="13">1-(F6*100%)/C6</f>
        <v>1</v>
      </c>
      <c r="G15" s="2">
        <f t="shared" si="5"/>
        <v>8.1583949020677227E-2</v>
      </c>
      <c r="H15" s="2">
        <f t="shared" si="6"/>
        <v>0.41007937654499349</v>
      </c>
      <c r="I15" s="2">
        <f t="shared" si="7"/>
        <v>0.98127260562581842</v>
      </c>
      <c r="J15" s="2">
        <f t="shared" si="8"/>
        <v>8.773179472909165E-2</v>
      </c>
      <c r="K15" s="2">
        <f t="shared" si="9"/>
        <v>0.3680343962596202</v>
      </c>
      <c r="L15" s="2">
        <f t="shared" si="10"/>
        <v>0.78749559256485946</v>
      </c>
      <c r="M15" s="2">
        <f t="shared" si="11"/>
        <v>9.6959995065357352E-2</v>
      </c>
    </row>
    <row r="16" spans="1:13" x14ac:dyDescent="0.35">
      <c r="A16" s="1" t="s">
        <v>16</v>
      </c>
      <c r="B16" s="1">
        <f t="shared" ref="B16:D16" si="14">B7</f>
        <v>542.29079999999999</v>
      </c>
      <c r="C16" s="1">
        <f t="shared" si="14"/>
        <v>153.2568</v>
      </c>
      <c r="D16" s="1">
        <f t="shared" si="14"/>
        <v>1279.9013</v>
      </c>
      <c r="E16" s="2">
        <f>1-(E7*100%)/B7</f>
        <v>0.60724559590537031</v>
      </c>
      <c r="F16" s="2">
        <f t="shared" si="13"/>
        <v>1</v>
      </c>
      <c r="G16" s="2">
        <f t="shared" si="5"/>
        <v>0.24063847735759003</v>
      </c>
      <c r="H16" s="2">
        <f t="shared" si="6"/>
        <v>0.59523690979083543</v>
      </c>
      <c r="I16" s="2">
        <f t="shared" si="7"/>
        <v>0.99692411690704752</v>
      </c>
      <c r="J16" s="2">
        <f t="shared" si="8"/>
        <v>0.24477418688456676</v>
      </c>
      <c r="K16" s="2">
        <f t="shared" si="9"/>
        <v>0.54741570389908878</v>
      </c>
      <c r="L16" s="2">
        <f t="shared" si="10"/>
        <v>0.87465809021198404</v>
      </c>
      <c r="M16" s="2">
        <f t="shared" si="11"/>
        <v>0.24404452124550535</v>
      </c>
    </row>
  </sheetData>
  <mergeCells count="12">
    <mergeCell ref="B1:K1"/>
    <mergeCell ref="B10:K10"/>
    <mergeCell ref="A2:A3"/>
    <mergeCell ref="B2:D2"/>
    <mergeCell ref="E2:G2"/>
    <mergeCell ref="H2:J2"/>
    <mergeCell ref="K2:M2"/>
    <mergeCell ref="B11:D11"/>
    <mergeCell ref="E11:G11"/>
    <mergeCell ref="H11:J11"/>
    <mergeCell ref="K11:M11"/>
    <mergeCell ref="A11:A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941B-D687-486A-81D8-0E3686B0EDDE}">
  <dimension ref="A1:E14"/>
  <sheetViews>
    <sheetView tabSelected="1" topLeftCell="A3" workbookViewId="0">
      <selection activeCell="I13" sqref="I13"/>
    </sheetView>
  </sheetViews>
  <sheetFormatPr defaultRowHeight="14.5" x14ac:dyDescent="0.35"/>
  <cols>
    <col min="1" max="1" width="14.81640625" bestFit="1" customWidth="1"/>
    <col min="2" max="6" width="9.26953125" customWidth="1"/>
  </cols>
  <sheetData>
    <row r="1" spans="1:5" ht="34" customHeight="1" x14ac:dyDescent="0.35">
      <c r="B1" s="8" t="s">
        <v>9</v>
      </c>
      <c r="C1" s="8"/>
      <c r="D1" s="8"/>
      <c r="E1" s="8"/>
    </row>
    <row r="2" spans="1:5" ht="43.5" x14ac:dyDescent="0.35">
      <c r="A2" s="4" t="s">
        <v>4</v>
      </c>
      <c r="B2" s="3" t="s">
        <v>5</v>
      </c>
      <c r="C2" s="3" t="s">
        <v>6</v>
      </c>
      <c r="D2" s="3" t="s">
        <v>7</v>
      </c>
      <c r="E2" s="3" t="s">
        <v>7</v>
      </c>
    </row>
    <row r="3" spans="1:5" x14ac:dyDescent="0.35">
      <c r="A3" s="1" t="s">
        <v>13</v>
      </c>
      <c r="B3" s="1">
        <f>'No Otters'!C2</f>
        <v>536.62729999999999</v>
      </c>
      <c r="C3" s="1">
        <f>'Otters, phi = 0'!C2</f>
        <v>310.15469999999999</v>
      </c>
      <c r="D3" s="1">
        <f>'Otters, phi = 1'!C2</f>
        <v>311.89569999999998</v>
      </c>
      <c r="E3" s="1">
        <f>'Otters, phi = 2'!C2</f>
        <v>319.31650000000002</v>
      </c>
    </row>
    <row r="4" spans="1:5" x14ac:dyDescent="0.35">
      <c r="A4" s="1" t="s">
        <v>14</v>
      </c>
      <c r="B4" s="1">
        <f>'No Otters'!C3</f>
        <v>556.96690000000001</v>
      </c>
      <c r="C4" s="1">
        <f>'Otters, phi = 0'!C3</f>
        <v>339.81330000000003</v>
      </c>
      <c r="D4" s="1">
        <f>'Otters, phi = 1'!C3</f>
        <v>352.8143</v>
      </c>
      <c r="E4" s="1">
        <f>'Otters, phi = 2'!C3</f>
        <v>382.0532</v>
      </c>
    </row>
    <row r="5" spans="1:5" x14ac:dyDescent="0.35">
      <c r="A5" s="1" t="s">
        <v>15</v>
      </c>
      <c r="B5" s="1">
        <f>'No Otters'!C4</f>
        <v>548.22239999999999</v>
      </c>
      <c r="C5" s="1">
        <f>'Otters, phi = 0'!C4</f>
        <v>313.61919999999998</v>
      </c>
      <c r="D5" s="1">
        <f>'Otters, phi = 1'!C4</f>
        <v>323.40769999999998</v>
      </c>
      <c r="E5" s="1">
        <f>'Otters, phi = 2'!C4</f>
        <v>346.45769999999999</v>
      </c>
    </row>
    <row r="6" spans="1:5" x14ac:dyDescent="0.35">
      <c r="A6" s="1" t="s">
        <v>16</v>
      </c>
      <c r="B6" s="1">
        <f>'No Otters'!C5</f>
        <v>542.29079999999999</v>
      </c>
      <c r="C6" s="1">
        <f>'Otters, phi = 0'!C5</f>
        <v>212.9871</v>
      </c>
      <c r="D6" s="1">
        <f>'Otters, phi = 1'!C5</f>
        <v>219.49930000000001</v>
      </c>
      <c r="E6" s="1">
        <f>'Otters, phi = 2'!C5</f>
        <v>245.4323</v>
      </c>
    </row>
    <row r="9" spans="1:5" ht="32.5" customHeight="1" x14ac:dyDescent="0.35">
      <c r="B9" s="8" t="s">
        <v>12</v>
      </c>
      <c r="C9" s="8"/>
      <c r="D9" s="8"/>
      <c r="E9" s="8"/>
    </row>
    <row r="10" spans="1:5" ht="43.5" x14ac:dyDescent="0.35">
      <c r="A10" s="4" t="s">
        <v>4</v>
      </c>
      <c r="B10" s="3" t="s">
        <v>5</v>
      </c>
      <c r="C10" s="3" t="s">
        <v>6</v>
      </c>
      <c r="D10" s="3" t="s">
        <v>7</v>
      </c>
      <c r="E10" s="3" t="s">
        <v>7</v>
      </c>
    </row>
    <row r="11" spans="1:5" x14ac:dyDescent="0.35">
      <c r="A11" s="1" t="s">
        <v>13</v>
      </c>
      <c r="B11" s="1">
        <f>B3</f>
        <v>536.62729999999999</v>
      </c>
      <c r="C11" s="2">
        <f>1-(C3*100%)/B3</f>
        <v>0.42202959111472715</v>
      </c>
      <c r="D11" s="2">
        <f>1-(D3*100%)/B3</f>
        <v>0.41878525375060127</v>
      </c>
      <c r="E11" s="2">
        <f>1-(E3*100%)/B3</f>
        <v>0.40495666172779499</v>
      </c>
    </row>
    <row r="12" spans="1:5" x14ac:dyDescent="0.35">
      <c r="A12" s="1" t="s">
        <v>14</v>
      </c>
      <c r="B12" s="1">
        <f>B4</f>
        <v>556.96690000000001</v>
      </c>
      <c r="C12" s="2">
        <f>1-(C4*100%)/B4</f>
        <v>0.3898860057931629</v>
      </c>
      <c r="D12" s="2">
        <f>1-(D4*100%)/B4</f>
        <v>0.36654350554763671</v>
      </c>
      <c r="E12" s="2">
        <f>1-(E4*100%)/B4</f>
        <v>0.31404684910360026</v>
      </c>
    </row>
    <row r="13" spans="1:5" x14ac:dyDescent="0.35">
      <c r="A13" s="1" t="s">
        <v>15</v>
      </c>
      <c r="B13" s="1">
        <f>B5</f>
        <v>548.22239999999999</v>
      </c>
      <c r="C13" s="2">
        <f>1-(C5*100%)/B5</f>
        <v>0.42793435656769951</v>
      </c>
      <c r="D13" s="2">
        <f>1-(D5*100%)/B5</f>
        <v>0.41007937654499349</v>
      </c>
      <c r="E13" s="2">
        <f>1-(E5*100%)/B5</f>
        <v>0.3680343962596202</v>
      </c>
    </row>
    <row r="14" spans="1:5" x14ac:dyDescent="0.35">
      <c r="A14" s="1" t="s">
        <v>16</v>
      </c>
      <c r="B14" s="1">
        <f>B6</f>
        <v>542.29079999999999</v>
      </c>
      <c r="C14" s="2">
        <f>1-(C6*100%)/B6</f>
        <v>0.60724559590537031</v>
      </c>
      <c r="D14" s="2">
        <f>1-(D6*100%)/B6</f>
        <v>0.59523690979083543</v>
      </c>
      <c r="E14" s="2">
        <f>1-(E6*100%)/B6</f>
        <v>0.54741570389908878</v>
      </c>
    </row>
  </sheetData>
  <mergeCells count="2">
    <mergeCell ref="B9:E9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18" sqref="D18"/>
    </sheetView>
  </sheetViews>
  <sheetFormatPr defaultRowHeight="14.5" x14ac:dyDescent="0.35"/>
  <cols>
    <col min="2" max="2" width="10.6328125" customWidth="1"/>
    <col min="3" max="3" width="18.26953125" bestFit="1" customWidth="1"/>
    <col min="4" max="4" width="17.7265625" bestFit="1" customWidth="1"/>
    <col min="5" max="5" width="18.7265625" bestFit="1" customWidth="1"/>
  </cols>
  <sheetData>
    <row r="1" spans="1:5" x14ac:dyDescent="0.35">
      <c r="A1" s="7" t="s">
        <v>0</v>
      </c>
      <c r="B1" s="7"/>
      <c r="C1" t="s">
        <v>1</v>
      </c>
      <c r="D1" t="s">
        <v>2</v>
      </c>
      <c r="E1" t="s">
        <v>3</v>
      </c>
    </row>
    <row r="2" spans="1:5" x14ac:dyDescent="0.35">
      <c r="A2">
        <v>5</v>
      </c>
      <c r="B2">
        <v>10</v>
      </c>
      <c r="C2">
        <v>536.62729999999999</v>
      </c>
      <c r="D2">
        <v>173.60669999999999</v>
      </c>
      <c r="E2">
        <v>1236.3586</v>
      </c>
    </row>
    <row r="3" spans="1:5" x14ac:dyDescent="0.35">
      <c r="A3">
        <v>10</v>
      </c>
      <c r="B3">
        <v>15</v>
      </c>
      <c r="C3">
        <v>556.96690000000001</v>
      </c>
      <c r="D3">
        <v>161.37629999999999</v>
      </c>
      <c r="E3">
        <v>1323.4123</v>
      </c>
    </row>
    <row r="4" spans="1:5" x14ac:dyDescent="0.35">
      <c r="A4">
        <v>15</v>
      </c>
      <c r="B4">
        <v>20</v>
      </c>
      <c r="C4">
        <v>548.22239999999999</v>
      </c>
      <c r="D4">
        <v>160.52420000000001</v>
      </c>
      <c r="E4">
        <v>1290.4683</v>
      </c>
    </row>
    <row r="5" spans="1:5" x14ac:dyDescent="0.35">
      <c r="A5">
        <v>20</v>
      </c>
      <c r="B5">
        <v>25</v>
      </c>
      <c r="C5">
        <v>542.29079999999999</v>
      </c>
      <c r="D5">
        <v>153.2568</v>
      </c>
      <c r="E5">
        <v>1279.9013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6CDF-B269-44BA-9C99-F1385A9C6C92}">
  <dimension ref="A1:E5"/>
  <sheetViews>
    <sheetView workbookViewId="0">
      <selection activeCell="E5" sqref="E5"/>
    </sheetView>
  </sheetViews>
  <sheetFormatPr defaultRowHeight="14.5" x14ac:dyDescent="0.35"/>
  <cols>
    <col min="2" max="2" width="10.6328125" customWidth="1"/>
    <col min="3" max="3" width="18.26953125" bestFit="1" customWidth="1"/>
    <col min="4" max="4" width="17.7265625" bestFit="1" customWidth="1"/>
    <col min="5" max="5" width="18.7265625" bestFit="1" customWidth="1"/>
  </cols>
  <sheetData>
    <row r="1" spans="1:5" x14ac:dyDescent="0.35">
      <c r="A1" s="7" t="s">
        <v>0</v>
      </c>
      <c r="B1" s="7"/>
      <c r="C1" t="s">
        <v>1</v>
      </c>
      <c r="D1" t="s">
        <v>2</v>
      </c>
      <c r="E1" t="s">
        <v>3</v>
      </c>
    </row>
    <row r="2" spans="1:5" x14ac:dyDescent="0.35">
      <c r="A2">
        <v>5</v>
      </c>
      <c r="B2">
        <v>10</v>
      </c>
      <c r="C2">
        <v>310.15469999999999</v>
      </c>
      <c r="D2">
        <v>38.100099999999998</v>
      </c>
      <c r="E2">
        <v>924.27750000000003</v>
      </c>
    </row>
    <row r="3" spans="1:5" x14ac:dyDescent="0.35">
      <c r="A3">
        <v>10</v>
      </c>
      <c r="B3">
        <v>15</v>
      </c>
      <c r="C3">
        <v>339.81330000000003</v>
      </c>
      <c r="D3">
        <v>0</v>
      </c>
      <c r="E3">
        <v>1236.7985000000001</v>
      </c>
    </row>
    <row r="4" spans="1:5" x14ac:dyDescent="0.35">
      <c r="A4">
        <v>15</v>
      </c>
      <c r="B4">
        <v>20</v>
      </c>
      <c r="C4">
        <v>313.61919999999998</v>
      </c>
      <c r="D4">
        <v>0</v>
      </c>
      <c r="E4">
        <v>1185.1867999999999</v>
      </c>
    </row>
    <row r="5" spans="1:5" x14ac:dyDescent="0.35">
      <c r="A5">
        <v>20</v>
      </c>
      <c r="B5">
        <v>25</v>
      </c>
      <c r="C5">
        <v>212.9871</v>
      </c>
      <c r="D5">
        <v>0</v>
      </c>
      <c r="E5">
        <v>971.90779999999995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E1B1-1BD6-44D5-A3CD-A71D0124A1CB}">
  <dimension ref="A1:E5"/>
  <sheetViews>
    <sheetView workbookViewId="0">
      <selection activeCell="G11" sqref="G11"/>
    </sheetView>
  </sheetViews>
  <sheetFormatPr defaultRowHeight="14.5" x14ac:dyDescent="0.35"/>
  <cols>
    <col min="2" max="2" width="10.6328125" customWidth="1"/>
    <col min="3" max="3" width="18.26953125" bestFit="1" customWidth="1"/>
    <col min="4" max="4" width="17.7265625" bestFit="1" customWidth="1"/>
    <col min="5" max="5" width="18.7265625" bestFit="1" customWidth="1"/>
  </cols>
  <sheetData>
    <row r="1" spans="1:5" x14ac:dyDescent="0.35">
      <c r="A1" s="7" t="s">
        <v>0</v>
      </c>
      <c r="B1" s="7"/>
      <c r="C1" t="s">
        <v>1</v>
      </c>
      <c r="D1" t="s">
        <v>2</v>
      </c>
      <c r="E1" t="s">
        <v>3</v>
      </c>
    </row>
    <row r="2" spans="1:5" x14ac:dyDescent="0.35">
      <c r="A2">
        <v>5</v>
      </c>
      <c r="B2">
        <v>10</v>
      </c>
      <c r="C2">
        <v>311.89569999999998</v>
      </c>
      <c r="D2">
        <v>42.4818</v>
      </c>
      <c r="E2">
        <v>923.08749999999998</v>
      </c>
    </row>
    <row r="3" spans="1:5" x14ac:dyDescent="0.35">
      <c r="A3">
        <v>10</v>
      </c>
      <c r="B3">
        <v>15</v>
      </c>
      <c r="C3">
        <v>352.8143</v>
      </c>
      <c r="D3">
        <v>6.18</v>
      </c>
      <c r="E3">
        <v>1236.7656999999999</v>
      </c>
    </row>
    <row r="4" spans="1:5" x14ac:dyDescent="0.35">
      <c r="A4">
        <v>15</v>
      </c>
      <c r="B4">
        <v>20</v>
      </c>
      <c r="C4">
        <v>323.40769999999998</v>
      </c>
      <c r="D4">
        <v>3.0062000000000002</v>
      </c>
      <c r="E4">
        <v>1177.2532000000001</v>
      </c>
    </row>
    <row r="5" spans="1:5" x14ac:dyDescent="0.35">
      <c r="A5">
        <v>20</v>
      </c>
      <c r="B5">
        <v>25</v>
      </c>
      <c r="C5">
        <v>219.49930000000001</v>
      </c>
      <c r="D5">
        <v>0.47139999999999999</v>
      </c>
      <c r="E5">
        <v>966.61450000000002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9F84-1854-45DD-9599-E69EA45AB0DA}">
  <dimension ref="A1:E5"/>
  <sheetViews>
    <sheetView workbookViewId="0">
      <selection activeCell="K12" sqref="K12"/>
    </sheetView>
  </sheetViews>
  <sheetFormatPr defaultRowHeight="14.5" x14ac:dyDescent="0.35"/>
  <cols>
    <col min="2" max="2" width="10.6328125" customWidth="1"/>
    <col min="3" max="3" width="18.26953125" bestFit="1" customWidth="1"/>
    <col min="4" max="4" width="17.7265625" bestFit="1" customWidth="1"/>
    <col min="5" max="5" width="18.7265625" bestFit="1" customWidth="1"/>
  </cols>
  <sheetData>
    <row r="1" spans="1:5" x14ac:dyDescent="0.35">
      <c r="A1" s="7" t="s">
        <v>0</v>
      </c>
      <c r="B1" s="7"/>
      <c r="C1" t="s">
        <v>1</v>
      </c>
      <c r="D1" t="s">
        <v>2</v>
      </c>
      <c r="E1" t="s">
        <v>3</v>
      </c>
    </row>
    <row r="2" spans="1:5" x14ac:dyDescent="0.35">
      <c r="A2">
        <v>5</v>
      </c>
      <c r="B2">
        <v>10</v>
      </c>
      <c r="C2">
        <v>319.31650000000002</v>
      </c>
      <c r="D2">
        <v>58.191699999999997</v>
      </c>
      <c r="E2">
        <v>922.80899999999997</v>
      </c>
    </row>
    <row r="3" spans="1:5" x14ac:dyDescent="0.35">
      <c r="A3">
        <v>10</v>
      </c>
      <c r="B3">
        <v>15</v>
      </c>
      <c r="C3">
        <v>382.0532</v>
      </c>
      <c r="D3">
        <v>46.018799999999999</v>
      </c>
      <c r="E3">
        <v>1243.5432000000001</v>
      </c>
    </row>
    <row r="4" spans="1:5" x14ac:dyDescent="0.35">
      <c r="A4">
        <v>15</v>
      </c>
      <c r="B4">
        <v>20</v>
      </c>
      <c r="C4">
        <v>346.45769999999999</v>
      </c>
      <c r="D4">
        <v>34.112099999999998</v>
      </c>
      <c r="E4">
        <v>1165.3444999999999</v>
      </c>
    </row>
    <row r="5" spans="1:5" x14ac:dyDescent="0.35">
      <c r="A5">
        <v>20</v>
      </c>
      <c r="B5">
        <v>25</v>
      </c>
      <c r="C5">
        <v>245.4323</v>
      </c>
      <c r="D5">
        <v>19.209499999999998</v>
      </c>
      <c r="E5">
        <v>967.54840000000002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Resuls</vt:lpstr>
      <vt:lpstr>Compact Results</vt:lpstr>
      <vt:lpstr>No Otters</vt:lpstr>
      <vt:lpstr>Otters, phi = 0</vt:lpstr>
      <vt:lpstr>Otters, phi = 1</vt:lpstr>
      <vt:lpstr>Otters, phi =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Pinos, Andres</dc:creator>
  <cp:lastModifiedBy>Pinos, Andres</cp:lastModifiedBy>
  <dcterms:created xsi:type="dcterms:W3CDTF">2015-06-05T18:17:20Z</dcterms:created>
  <dcterms:modified xsi:type="dcterms:W3CDTF">2026-05-07T01:28:31Z</dcterms:modified>
</cp:coreProperties>
</file>