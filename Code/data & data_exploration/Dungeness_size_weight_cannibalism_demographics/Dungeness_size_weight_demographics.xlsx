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nosa\Documents\Git\Oregon_Population_Model_ORPM\Code\data &amp; data_exploration\Dungeness_size_weight_cannibalism_demographics\"/>
    </mc:Choice>
  </mc:AlternateContent>
  <xr:revisionPtr revIDLastSave="0" documentId="13_ncr:1_{4C0D08B2-17D0-4346-9E94-4B51A9038CF2}" xr6:coauthVersionLast="47" xr6:coauthVersionMax="47" xr10:uidLastSave="{00000000-0000-0000-0000-000000000000}"/>
  <bookViews>
    <workbookView xWindow="-110" yWindow="-110" windowWidth="19420" windowHeight="10300" activeTab="1" xr2:uid="{DB846765-97F4-4E10-A3BF-2060A5F2C6B7}"/>
  </bookViews>
  <sheets>
    <sheet name="Weight" sheetId="1" r:id="rId1"/>
    <sheet name="Demographic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K2" i="1"/>
  <c r="E2" i="1"/>
  <c r="D2" i="1"/>
  <c r="D3" i="1"/>
  <c r="D4" i="1"/>
  <c r="D5" i="1"/>
  <c r="D6" i="1"/>
  <c r="H4" i="1"/>
  <c r="D7" i="1"/>
  <c r="D8" i="1"/>
  <c r="D9" i="1"/>
  <c r="D10" i="1"/>
  <c r="D11" i="1"/>
  <c r="D12" i="1"/>
  <c r="D13" i="1"/>
  <c r="F3" i="1"/>
  <c r="J3" i="1" s="1"/>
  <c r="F4" i="1"/>
  <c r="J4" i="1" s="1"/>
  <c r="F5" i="1"/>
  <c r="J5" i="1" s="1"/>
  <c r="F6" i="1"/>
  <c r="J6" i="1" s="1"/>
  <c r="F7" i="1"/>
  <c r="J7" i="1" s="1"/>
  <c r="F8" i="1"/>
  <c r="J8" i="1" s="1"/>
  <c r="F9" i="1"/>
  <c r="J9" i="1" s="1"/>
  <c r="F10" i="1"/>
  <c r="J10" i="1" s="1"/>
  <c r="F11" i="1"/>
  <c r="J11" i="1" s="1"/>
  <c r="F12" i="1"/>
  <c r="J12" i="1" s="1"/>
  <c r="F13" i="1"/>
  <c r="J13" i="1" s="1"/>
  <c r="F2" i="1"/>
  <c r="J2" i="1" s="1"/>
  <c r="E3" i="1"/>
  <c r="E4" i="1"/>
  <c r="I4" i="1" s="1"/>
  <c r="E5" i="1"/>
  <c r="I5" i="1" s="1"/>
  <c r="E6" i="1"/>
  <c r="I6" i="1" s="1"/>
  <c r="E7" i="1"/>
  <c r="I7" i="1" s="1"/>
  <c r="E8" i="1"/>
  <c r="E9" i="1"/>
  <c r="I9" i="1" s="1"/>
  <c r="E10" i="1"/>
  <c r="I10" i="1" s="1"/>
  <c r="E11" i="1"/>
  <c r="E12" i="1"/>
  <c r="I12" i="1" s="1"/>
  <c r="E13" i="1"/>
  <c r="I13" i="1" s="1"/>
  <c r="I2" i="1"/>
  <c r="G11" i="1" l="1"/>
  <c r="H11" i="1" s="1"/>
  <c r="K9" i="1"/>
  <c r="G8" i="1"/>
  <c r="H8" i="1" s="1"/>
  <c r="G13" i="1"/>
  <c r="H13" i="1" s="1"/>
  <c r="K3" i="1"/>
  <c r="G7" i="1"/>
  <c r="H7" i="1" s="1"/>
  <c r="G6" i="1"/>
  <c r="H6" i="1" s="1"/>
  <c r="G5" i="1"/>
  <c r="H5" i="1" s="1"/>
  <c r="I8" i="1"/>
  <c r="K8" i="1" s="1"/>
  <c r="G9" i="1"/>
  <c r="H9" i="1" s="1"/>
  <c r="G4" i="1"/>
  <c r="K13" i="1"/>
  <c r="G3" i="1"/>
  <c r="H3" i="1" s="1"/>
  <c r="G2" i="1"/>
  <c r="I11" i="1"/>
  <c r="K11" i="1" s="1"/>
  <c r="I3" i="1"/>
  <c r="K12" i="1"/>
  <c r="J14" i="1"/>
  <c r="K10" i="1"/>
  <c r="K7" i="1"/>
  <c r="K6" i="1"/>
  <c r="K5" i="1"/>
  <c r="K4" i="1"/>
  <c r="G12" i="1"/>
  <c r="H12" i="1" s="1"/>
  <c r="G10" i="1"/>
  <c r="H10" i="1" s="1"/>
  <c r="M10" i="1" l="1"/>
  <c r="M11" i="1"/>
  <c r="M12" i="1"/>
  <c r="M13" i="1"/>
  <c r="M2" i="1"/>
  <c r="M3" i="1"/>
  <c r="M4" i="1"/>
  <c r="M5" i="1"/>
  <c r="M6" i="1"/>
  <c r="M7" i="1"/>
  <c r="M8" i="1"/>
  <c r="M9" i="1"/>
  <c r="I14" i="1"/>
  <c r="M14" i="1" l="1"/>
  <c r="L13" i="1"/>
  <c r="N13" i="1" s="1"/>
  <c r="L6" i="1"/>
  <c r="N6" i="1" s="1"/>
  <c r="L12" i="1"/>
  <c r="N12" i="1" s="1"/>
  <c r="L2" i="1"/>
  <c r="L3" i="1"/>
  <c r="N3" i="1" s="1"/>
  <c r="L8" i="1"/>
  <c r="N8" i="1" s="1"/>
  <c r="L10" i="1"/>
  <c r="N10" i="1" s="1"/>
  <c r="L4" i="1"/>
  <c r="N4" i="1" s="1"/>
  <c r="L5" i="1"/>
  <c r="N5" i="1" s="1"/>
  <c r="L7" i="1"/>
  <c r="N7" i="1" s="1"/>
  <c r="L9" i="1"/>
  <c r="N9" i="1" s="1"/>
  <c r="L11" i="1"/>
  <c r="N11" i="1" s="1"/>
  <c r="N2" i="1" l="1"/>
  <c r="N14" i="1" s="1"/>
  <c r="L14" i="1"/>
</calcChain>
</file>

<file path=xl/sharedStrings.xml><?xml version="1.0" encoding="utf-8"?>
<sst xmlns="http://schemas.openxmlformats.org/spreadsheetml/2006/main" count="24" uniqueCount="23">
  <si>
    <t>Age</t>
  </si>
  <si>
    <t>Relationship</t>
  </si>
  <si>
    <t>Wight</t>
  </si>
  <si>
    <t>Width</t>
  </si>
  <si>
    <t>Carapace Width (mm) - male</t>
  </si>
  <si>
    <t>Carapace Width (mm) - female</t>
  </si>
  <si>
    <t>Carapace Width (mm) - average</t>
  </si>
  <si>
    <t>Weight (g) - male</t>
  </si>
  <si>
    <t>Weight (g) - female</t>
  </si>
  <si>
    <t>Weight (g) - average</t>
  </si>
  <si>
    <t>Note: carapace width are visual aproximations from (Botsford &amp; Wickham, 1978). Furthermore, that paper only covers up to age 6, red text is aproximations</t>
  </si>
  <si>
    <t>Scale male</t>
  </si>
  <si>
    <t>Scale Female</t>
  </si>
  <si>
    <t>Scale Average</t>
  </si>
  <si>
    <t>Weight^0.75 - male</t>
  </si>
  <si>
    <t>Weight^0.75 - female</t>
  </si>
  <si>
    <t>Weight^0.75 - average</t>
  </si>
  <si>
    <t>Weight (Kg) - average</t>
  </si>
  <si>
    <t>NOAA</t>
  </si>
  <si>
    <t>https://rex.libraries.wsu.edu/view/pdfCoverPage?download=true&amp;filePid=13333059290001842&amp;instCode=01ALLIANCE_WSU</t>
  </si>
  <si>
    <t>https://pubs.usgs.gov/publication/70186899</t>
  </si>
  <si>
    <t>Female (Model)</t>
  </si>
  <si>
    <t>Male (Model)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</si>
</sst>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9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4"/>
      <name val="Aptos Narrow"/>
      <family val="2"/>
      <scheme val="minor"/>
    </font>
    <font>
      <sz val="7"/>
      <color theme="1"/>
      <name val="Consolas"/>
      <family val="3"/>
    </font>
    <font>
      <sz val="10"/>
      <color theme="1"/>
      <name val="Consolas"/>
      <family val="3"/>
    </font>
    <font>
      <sz val="1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3" fillId="0" borderId="0" xfId="0" applyFont="1"/>
    <xf numFmtId="2" fontId="0" fillId="0" borderId="0" xfId="0" applyNumberFormat="1"/>
    <xf numFmtId="2" fontId="0" fillId="0" borderId="3" xfId="0" applyNumberFormat="1" applyBorder="1"/>
    <xf numFmtId="1" fontId="1" fillId="0" borderId="0" xfId="0" applyNumberFormat="1" applyFont="1"/>
    <xf numFmtId="2" fontId="1" fillId="0" borderId="0" xfId="0" applyNumberFormat="1" applyFont="1"/>
    <xf numFmtId="2" fontId="1" fillId="0" borderId="3" xfId="0" applyNumberFormat="1" applyFont="1" applyBorder="1"/>
    <xf numFmtId="1" fontId="1" fillId="0" borderId="5" xfId="0" applyNumberFormat="1" applyFont="1" applyBorder="1"/>
    <xf numFmtId="2" fontId="1" fillId="0" borderId="5" xfId="0" applyNumberFormat="1" applyFont="1" applyBorder="1"/>
    <xf numFmtId="2" fontId="1" fillId="0" borderId="6" xfId="0" applyNumberFormat="1" applyFont="1" applyBorder="1"/>
    <xf numFmtId="0" fontId="0" fillId="0" borderId="2" xfId="0" applyBorder="1"/>
    <xf numFmtId="1" fontId="1" fillId="0" borderId="2" xfId="0" applyNumberFormat="1" applyFont="1" applyBorder="1"/>
    <xf numFmtId="1" fontId="1" fillId="0" borderId="4" xfId="0" applyNumberFormat="1" applyFont="1" applyBorder="1"/>
    <xf numFmtId="11" fontId="0" fillId="0" borderId="2" xfId="0" applyNumberFormat="1" applyBorder="1"/>
    <xf numFmtId="11" fontId="0" fillId="0" borderId="0" xfId="0" applyNumberFormat="1"/>
    <xf numFmtId="11" fontId="0" fillId="0" borderId="3" xfId="0" applyNumberFormat="1" applyBorder="1"/>
    <xf numFmtId="11" fontId="0" fillId="0" borderId="4" xfId="0" applyNumberFormat="1" applyBorder="1"/>
    <xf numFmtId="11" fontId="0" fillId="0" borderId="5" xfId="0" applyNumberFormat="1" applyBorder="1"/>
    <xf numFmtId="11" fontId="0" fillId="0" borderId="6" xfId="0" applyNumberFormat="1" applyBorder="1"/>
    <xf numFmtId="11" fontId="2" fillId="0" borderId="0" xfId="0" applyNumberFormat="1" applyFont="1"/>
    <xf numFmtId="0" fontId="2" fillId="0" borderId="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" xfId="0" applyFont="1" applyBorder="1" applyAlignment="1">
      <alignment horizontal="center" vertical="center" wrapText="1"/>
    </xf>
    <xf numFmtId="164" fontId="0" fillId="0" borderId="8" xfId="0" applyNumberFormat="1" applyBorder="1"/>
    <xf numFmtId="164" fontId="0" fillId="0" borderId="9" xfId="0" applyNumberFormat="1" applyBorder="1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1" fontId="4" fillId="0" borderId="0" xfId="0" applyNumberFormat="1" applyFont="1" applyAlignment="1">
      <alignment horizontal="left" vertical="center"/>
    </xf>
    <xf numFmtId="11" fontId="5" fillId="0" borderId="0" xfId="0" applyNumberFormat="1" applyFont="1" applyAlignment="1">
      <alignment horizontal="left" vertical="center"/>
    </xf>
    <xf numFmtId="0" fontId="6" fillId="0" borderId="0" xfId="0" applyFont="1"/>
    <xf numFmtId="2" fontId="4" fillId="0" borderId="0" xfId="0" applyNumberFormat="1" applyFont="1" applyAlignment="1">
      <alignment horizontal="left" vertical="center"/>
    </xf>
    <xf numFmtId="11" fontId="7" fillId="0" borderId="0" xfId="0" applyNumberFormat="1" applyFont="1"/>
    <xf numFmtId="0" fontId="8" fillId="0" borderId="0" xfId="0" applyFont="1"/>
    <xf numFmtId="0" fontId="7" fillId="0" borderId="0" xfId="0" applyFont="1"/>
    <xf numFmtId="0" fontId="8" fillId="0" borderId="0" xfId="0" applyFont="1" applyAlignment="1">
      <alignment horizontal="right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349B4-1F32-4189-A97C-8EFECC725A4B}">
  <dimension ref="A1:N20"/>
  <sheetViews>
    <sheetView workbookViewId="0">
      <selection activeCell="H2" sqref="H2"/>
    </sheetView>
  </sheetViews>
  <sheetFormatPr defaultRowHeight="14.5" x14ac:dyDescent="0.35"/>
  <cols>
    <col min="2" max="4" width="15.08984375" customWidth="1"/>
    <col min="5" max="5" width="10.54296875" customWidth="1"/>
    <col min="6" max="6" width="9.81640625" customWidth="1"/>
    <col min="7" max="7" width="10.453125" customWidth="1"/>
    <col min="8" max="8" width="10.90625" bestFit="1" customWidth="1"/>
    <col min="9" max="11" width="11.26953125" customWidth="1"/>
  </cols>
  <sheetData>
    <row r="1" spans="1:14" ht="29" x14ac:dyDescent="0.35">
      <c r="A1" s="20" t="s">
        <v>0</v>
      </c>
      <c r="B1" s="21" t="s">
        <v>4</v>
      </c>
      <c r="C1" s="22" t="s">
        <v>5</v>
      </c>
      <c r="D1" s="23" t="s">
        <v>6</v>
      </c>
      <c r="E1" s="22" t="s">
        <v>7</v>
      </c>
      <c r="F1" s="22" t="s">
        <v>8</v>
      </c>
      <c r="G1" s="23" t="s">
        <v>9</v>
      </c>
      <c r="H1" s="27" t="s">
        <v>17</v>
      </c>
      <c r="I1" s="21" t="s">
        <v>14</v>
      </c>
      <c r="J1" s="22" t="s">
        <v>15</v>
      </c>
      <c r="K1" s="23" t="s">
        <v>16</v>
      </c>
      <c r="L1" s="21" t="s">
        <v>11</v>
      </c>
      <c r="M1" s="22" t="s">
        <v>12</v>
      </c>
      <c r="N1" s="23" t="s">
        <v>13</v>
      </c>
    </row>
    <row r="2" spans="1:14" x14ac:dyDescent="0.35">
      <c r="A2" s="24">
        <v>0</v>
      </c>
      <c r="B2" s="10">
        <v>10</v>
      </c>
      <c r="C2">
        <v>10</v>
      </c>
      <c r="D2" s="3">
        <f>AVERAGE(B2:C2)</f>
        <v>10</v>
      </c>
      <c r="E2" s="2">
        <f>0.00055*B2^2.76</f>
        <v>0.3164919655354364</v>
      </c>
      <c r="F2" s="2">
        <f>0.00055*C2^2.76</f>
        <v>0.3164919655354364</v>
      </c>
      <c r="G2" s="3">
        <f>AVERAGE(E2:F2)</f>
        <v>0.3164919655354364</v>
      </c>
      <c r="H2" s="28">
        <f>G2*0.001</f>
        <v>3.164919655354364E-4</v>
      </c>
      <c r="I2" s="13">
        <f>E2^0.75</f>
        <v>0.42196071263318502</v>
      </c>
      <c r="J2" s="14">
        <f>F2^0.75</f>
        <v>0.42196071263318502</v>
      </c>
      <c r="K2" s="15">
        <f>AVERAGE(I2:J2)</f>
        <v>0.42196071263318502</v>
      </c>
      <c r="L2" s="13">
        <f>I2/$I$14</f>
        <v>1.7478172829679518E-4</v>
      </c>
      <c r="M2" s="14">
        <f>J2/$J$14</f>
        <v>1.7478172829679518E-4</v>
      </c>
      <c r="N2" s="15">
        <f>AVERAGE(L2:M2)</f>
        <v>1.7478172829679518E-4</v>
      </c>
    </row>
    <row r="3" spans="1:14" x14ac:dyDescent="0.35">
      <c r="A3" s="25">
        <v>1</v>
      </c>
      <c r="B3" s="10">
        <v>40</v>
      </c>
      <c r="C3">
        <v>40</v>
      </c>
      <c r="D3" s="3">
        <f t="shared" ref="D3:D13" si="0">AVERAGE(B3:C3)</f>
        <v>40</v>
      </c>
      <c r="E3" s="2">
        <f t="shared" ref="E3:E13" si="1">0.00055*B3^2.76</f>
        <v>14.522730077900246</v>
      </c>
      <c r="F3" s="2">
        <f t="shared" ref="F3:F13" si="2">0.00055*C3^2.76</f>
        <v>14.522730077900246</v>
      </c>
      <c r="G3" s="3">
        <f t="shared" ref="G3:G13" si="3">AVERAGE(E3:F3)</f>
        <v>14.522730077900246</v>
      </c>
      <c r="H3" s="28">
        <f t="shared" ref="H3:H13" si="4">G3*0.001</f>
        <v>1.4522730077900246E-2</v>
      </c>
      <c r="I3" s="13">
        <f t="shared" ref="I3:I13" si="5">E3^0.75</f>
        <v>7.4393706871911407</v>
      </c>
      <c r="J3" s="14">
        <f t="shared" ref="J3:J13" si="6">F3^0.75</f>
        <v>7.4393706871911407</v>
      </c>
      <c r="K3" s="15">
        <f t="shared" ref="K3:K13" si="7">AVERAGE(I3:J3)</f>
        <v>7.4393706871911407</v>
      </c>
      <c r="L3" s="13">
        <f t="shared" ref="L3:L13" si="8">I3/$I$14</f>
        <v>3.0814860891519055E-3</v>
      </c>
      <c r="M3" s="14">
        <f t="shared" ref="M3:M13" si="9">J3/$J$14</f>
        <v>3.0814860891519055E-3</v>
      </c>
      <c r="N3" s="15">
        <f t="shared" ref="N3:N13" si="10">AVERAGE(L3:M3)</f>
        <v>3.0814860891519055E-3</v>
      </c>
    </row>
    <row r="4" spans="1:14" x14ac:dyDescent="0.35">
      <c r="A4" s="25">
        <v>2</v>
      </c>
      <c r="B4" s="10">
        <v>120</v>
      </c>
      <c r="C4">
        <v>120</v>
      </c>
      <c r="D4" s="3">
        <f t="shared" si="0"/>
        <v>120</v>
      </c>
      <c r="E4" s="2">
        <f t="shared" si="1"/>
        <v>301.23326468253157</v>
      </c>
      <c r="F4" s="2">
        <f t="shared" si="2"/>
        <v>301.23326468253157</v>
      </c>
      <c r="G4" s="3">
        <f t="shared" si="3"/>
        <v>301.23326468253157</v>
      </c>
      <c r="H4" s="28">
        <f t="shared" si="4"/>
        <v>0.30123326468253159</v>
      </c>
      <c r="I4" s="13">
        <f t="shared" si="5"/>
        <v>72.306476099137797</v>
      </c>
      <c r="J4" s="14">
        <f t="shared" si="6"/>
        <v>72.306476099137797</v>
      </c>
      <c r="K4" s="15">
        <f t="shared" si="7"/>
        <v>72.306476099137797</v>
      </c>
      <c r="L4" s="13">
        <f t="shared" si="8"/>
        <v>2.9950302199447738E-2</v>
      </c>
      <c r="M4" s="14">
        <f t="shared" si="9"/>
        <v>2.9950302199447738E-2</v>
      </c>
      <c r="N4" s="15">
        <f t="shared" si="10"/>
        <v>2.9950302199447738E-2</v>
      </c>
    </row>
    <row r="5" spans="1:14" x14ac:dyDescent="0.35">
      <c r="A5" s="25">
        <v>3</v>
      </c>
      <c r="B5" s="10">
        <v>150</v>
      </c>
      <c r="C5">
        <v>150</v>
      </c>
      <c r="D5" s="3">
        <f t="shared" si="0"/>
        <v>150</v>
      </c>
      <c r="E5" s="2">
        <f t="shared" si="1"/>
        <v>557.66651032438847</v>
      </c>
      <c r="F5" s="2">
        <f t="shared" si="2"/>
        <v>557.66651032438847</v>
      </c>
      <c r="G5" s="3">
        <f t="shared" si="3"/>
        <v>557.66651032438847</v>
      </c>
      <c r="H5" s="28">
        <f t="shared" si="4"/>
        <v>0.55766651032438852</v>
      </c>
      <c r="I5" s="13">
        <f t="shared" si="5"/>
        <v>114.7574589964628</v>
      </c>
      <c r="J5" s="14">
        <f t="shared" si="6"/>
        <v>114.7574589964628</v>
      </c>
      <c r="K5" s="15">
        <f t="shared" si="7"/>
        <v>114.7574589964628</v>
      </c>
      <c r="L5" s="13">
        <f t="shared" si="8"/>
        <v>4.753406281164043E-2</v>
      </c>
      <c r="M5" s="14">
        <f t="shared" si="9"/>
        <v>4.753406281164043E-2</v>
      </c>
      <c r="N5" s="15">
        <f t="shared" si="10"/>
        <v>4.753406281164043E-2</v>
      </c>
    </row>
    <row r="6" spans="1:14" x14ac:dyDescent="0.35">
      <c r="A6" s="25">
        <v>4</v>
      </c>
      <c r="B6" s="10">
        <v>180</v>
      </c>
      <c r="C6">
        <v>180</v>
      </c>
      <c r="D6" s="3">
        <f t="shared" si="0"/>
        <v>180</v>
      </c>
      <c r="E6" s="2">
        <f t="shared" si="1"/>
        <v>922.39046221596925</v>
      </c>
      <c r="F6" s="2">
        <f t="shared" si="2"/>
        <v>922.39046221596925</v>
      </c>
      <c r="G6" s="3">
        <f t="shared" si="3"/>
        <v>922.39046221596925</v>
      </c>
      <c r="H6" s="28">
        <f t="shared" si="4"/>
        <v>0.92239046221596932</v>
      </c>
      <c r="I6" s="13">
        <f t="shared" si="5"/>
        <v>167.37327061144691</v>
      </c>
      <c r="J6" s="14">
        <f t="shared" si="6"/>
        <v>167.37327061144691</v>
      </c>
      <c r="K6" s="15">
        <f t="shared" si="7"/>
        <v>167.37327061144691</v>
      </c>
      <c r="L6" s="13">
        <f t="shared" si="8"/>
        <v>6.9328230407048635E-2</v>
      </c>
      <c r="M6" s="14">
        <f t="shared" si="9"/>
        <v>6.9328230407048635E-2</v>
      </c>
      <c r="N6" s="15">
        <f t="shared" si="10"/>
        <v>6.9328230407048635E-2</v>
      </c>
    </row>
    <row r="7" spans="1:14" x14ac:dyDescent="0.35">
      <c r="A7" s="25">
        <v>5</v>
      </c>
      <c r="B7" s="10">
        <v>210</v>
      </c>
      <c r="C7">
        <v>210</v>
      </c>
      <c r="D7" s="3">
        <f t="shared" si="0"/>
        <v>210</v>
      </c>
      <c r="E7" s="2">
        <f t="shared" si="1"/>
        <v>1411.522947434519</v>
      </c>
      <c r="F7" s="2">
        <f t="shared" si="2"/>
        <v>1411.522947434519</v>
      </c>
      <c r="G7" s="3">
        <f t="shared" si="3"/>
        <v>1411.522947434519</v>
      </c>
      <c r="H7" s="28">
        <f t="shared" si="4"/>
        <v>1.411522947434519</v>
      </c>
      <c r="I7" s="13">
        <f t="shared" si="5"/>
        <v>230.28516269925709</v>
      </c>
      <c r="J7" s="14">
        <f t="shared" si="6"/>
        <v>230.28516269925709</v>
      </c>
      <c r="K7" s="15">
        <f t="shared" si="7"/>
        <v>230.28516269925709</v>
      </c>
      <c r="L7" s="13">
        <f t="shared" si="8"/>
        <v>9.5387171204903781E-2</v>
      </c>
      <c r="M7" s="14">
        <f t="shared" si="9"/>
        <v>9.5387171204903781E-2</v>
      </c>
      <c r="N7" s="15">
        <f t="shared" si="10"/>
        <v>9.5387171204903781E-2</v>
      </c>
    </row>
    <row r="8" spans="1:14" x14ac:dyDescent="0.35">
      <c r="A8" s="25">
        <v>6</v>
      </c>
      <c r="B8" s="10">
        <v>240</v>
      </c>
      <c r="C8">
        <v>240</v>
      </c>
      <c r="D8" s="3">
        <f t="shared" si="0"/>
        <v>240</v>
      </c>
      <c r="E8" s="2">
        <f t="shared" si="1"/>
        <v>2040.5428383807541</v>
      </c>
      <c r="F8" s="2">
        <f t="shared" si="2"/>
        <v>2040.5428383807541</v>
      </c>
      <c r="G8" s="3">
        <f t="shared" si="3"/>
        <v>2040.5428383807541</v>
      </c>
      <c r="H8" s="28">
        <f t="shared" si="4"/>
        <v>2.040542838380754</v>
      </c>
      <c r="I8" s="13">
        <f t="shared" si="5"/>
        <v>303.60525718103008</v>
      </c>
      <c r="J8" s="14">
        <f t="shared" si="6"/>
        <v>303.60525718103008</v>
      </c>
      <c r="K8" s="15">
        <f t="shared" si="7"/>
        <v>303.60525718103008</v>
      </c>
      <c r="L8" s="13">
        <f t="shared" si="8"/>
        <v>0.12575732759325178</v>
      </c>
      <c r="M8" s="14">
        <f t="shared" si="9"/>
        <v>0.12575732759325178</v>
      </c>
      <c r="N8" s="15">
        <f t="shared" si="10"/>
        <v>0.12575732759325178</v>
      </c>
    </row>
    <row r="9" spans="1:14" x14ac:dyDescent="0.35">
      <c r="A9" s="25">
        <v>7</v>
      </c>
      <c r="B9" s="11">
        <v>240</v>
      </c>
      <c r="C9" s="4">
        <v>240</v>
      </c>
      <c r="D9" s="6">
        <f t="shared" si="0"/>
        <v>240</v>
      </c>
      <c r="E9" s="5">
        <f t="shared" si="1"/>
        <v>2040.5428383807541</v>
      </c>
      <c r="F9" s="5">
        <f t="shared" si="2"/>
        <v>2040.5428383807541</v>
      </c>
      <c r="G9" s="6">
        <f t="shared" si="3"/>
        <v>2040.5428383807541</v>
      </c>
      <c r="H9" s="28">
        <f t="shared" si="4"/>
        <v>2.040542838380754</v>
      </c>
      <c r="I9" s="13">
        <f t="shared" si="5"/>
        <v>303.60525718103008</v>
      </c>
      <c r="J9" s="14">
        <f t="shared" si="6"/>
        <v>303.60525718103008</v>
      </c>
      <c r="K9" s="15">
        <f t="shared" si="7"/>
        <v>303.60525718103008</v>
      </c>
      <c r="L9" s="13">
        <f t="shared" si="8"/>
        <v>0.12575732759325178</v>
      </c>
      <c r="M9" s="14">
        <f t="shared" si="9"/>
        <v>0.12575732759325178</v>
      </c>
      <c r="N9" s="15">
        <f t="shared" si="10"/>
        <v>0.12575732759325178</v>
      </c>
    </row>
    <row r="10" spans="1:14" x14ac:dyDescent="0.35">
      <c r="A10" s="25">
        <v>8</v>
      </c>
      <c r="B10" s="11">
        <v>240</v>
      </c>
      <c r="C10" s="4">
        <v>240</v>
      </c>
      <c r="D10" s="6">
        <f t="shared" si="0"/>
        <v>240</v>
      </c>
      <c r="E10" s="5">
        <f t="shared" si="1"/>
        <v>2040.5428383807541</v>
      </c>
      <c r="F10" s="5">
        <f t="shared" si="2"/>
        <v>2040.5428383807541</v>
      </c>
      <c r="G10" s="6">
        <f t="shared" si="3"/>
        <v>2040.5428383807541</v>
      </c>
      <c r="H10" s="28">
        <f t="shared" si="4"/>
        <v>2.040542838380754</v>
      </c>
      <c r="I10" s="13">
        <f t="shared" si="5"/>
        <v>303.60525718103008</v>
      </c>
      <c r="J10" s="14">
        <f t="shared" si="6"/>
        <v>303.60525718103008</v>
      </c>
      <c r="K10" s="15">
        <f t="shared" si="7"/>
        <v>303.60525718103008</v>
      </c>
      <c r="L10" s="13">
        <f t="shared" si="8"/>
        <v>0.12575732759325178</v>
      </c>
      <c r="M10" s="14">
        <f t="shared" si="9"/>
        <v>0.12575732759325178</v>
      </c>
      <c r="N10" s="15">
        <f t="shared" si="10"/>
        <v>0.12575732759325178</v>
      </c>
    </row>
    <row r="11" spans="1:14" x14ac:dyDescent="0.35">
      <c r="A11" s="25">
        <v>9</v>
      </c>
      <c r="B11" s="11">
        <v>240</v>
      </c>
      <c r="C11" s="4">
        <v>240</v>
      </c>
      <c r="D11" s="6">
        <f t="shared" si="0"/>
        <v>240</v>
      </c>
      <c r="E11" s="5">
        <f t="shared" si="1"/>
        <v>2040.5428383807541</v>
      </c>
      <c r="F11" s="5">
        <f t="shared" si="2"/>
        <v>2040.5428383807541</v>
      </c>
      <c r="G11" s="6">
        <f t="shared" si="3"/>
        <v>2040.5428383807541</v>
      </c>
      <c r="H11" s="28">
        <f t="shared" si="4"/>
        <v>2.040542838380754</v>
      </c>
      <c r="I11" s="13">
        <f t="shared" si="5"/>
        <v>303.60525718103008</v>
      </c>
      <c r="J11" s="14">
        <f t="shared" si="6"/>
        <v>303.60525718103008</v>
      </c>
      <c r="K11" s="15">
        <f t="shared" si="7"/>
        <v>303.60525718103008</v>
      </c>
      <c r="L11" s="13">
        <f t="shared" si="8"/>
        <v>0.12575732759325178</v>
      </c>
      <c r="M11" s="14">
        <f t="shared" si="9"/>
        <v>0.12575732759325178</v>
      </c>
      <c r="N11" s="15">
        <f t="shared" si="10"/>
        <v>0.12575732759325178</v>
      </c>
    </row>
    <row r="12" spans="1:14" x14ac:dyDescent="0.35">
      <c r="A12" s="25">
        <v>10</v>
      </c>
      <c r="B12" s="11">
        <v>240</v>
      </c>
      <c r="C12" s="4">
        <v>240</v>
      </c>
      <c r="D12" s="6">
        <f t="shared" si="0"/>
        <v>240</v>
      </c>
      <c r="E12" s="5">
        <f t="shared" si="1"/>
        <v>2040.5428383807541</v>
      </c>
      <c r="F12" s="5">
        <f t="shared" si="2"/>
        <v>2040.5428383807541</v>
      </c>
      <c r="G12" s="6">
        <f t="shared" si="3"/>
        <v>2040.5428383807541</v>
      </c>
      <c r="H12" s="28">
        <f t="shared" si="4"/>
        <v>2.040542838380754</v>
      </c>
      <c r="I12" s="13">
        <f t="shared" si="5"/>
        <v>303.60525718103008</v>
      </c>
      <c r="J12" s="14">
        <f t="shared" si="6"/>
        <v>303.60525718103008</v>
      </c>
      <c r="K12" s="15">
        <f t="shared" si="7"/>
        <v>303.60525718103008</v>
      </c>
      <c r="L12" s="13">
        <f t="shared" si="8"/>
        <v>0.12575732759325178</v>
      </c>
      <c r="M12" s="14">
        <f t="shared" si="9"/>
        <v>0.12575732759325178</v>
      </c>
      <c r="N12" s="15">
        <f t="shared" si="10"/>
        <v>0.12575732759325178</v>
      </c>
    </row>
    <row r="13" spans="1:14" x14ac:dyDescent="0.35">
      <c r="A13" s="26">
        <v>11</v>
      </c>
      <c r="B13" s="12">
        <v>240</v>
      </c>
      <c r="C13" s="7">
        <v>240</v>
      </c>
      <c r="D13" s="9">
        <f t="shared" si="0"/>
        <v>240</v>
      </c>
      <c r="E13" s="8">
        <f t="shared" si="1"/>
        <v>2040.5428383807541</v>
      </c>
      <c r="F13" s="8">
        <f t="shared" si="2"/>
        <v>2040.5428383807541</v>
      </c>
      <c r="G13" s="9">
        <f t="shared" si="3"/>
        <v>2040.5428383807541</v>
      </c>
      <c r="H13" s="29">
        <f t="shared" si="4"/>
        <v>2.040542838380754</v>
      </c>
      <c r="I13" s="16">
        <f t="shared" si="5"/>
        <v>303.60525718103008</v>
      </c>
      <c r="J13" s="17">
        <f t="shared" si="6"/>
        <v>303.60525718103008</v>
      </c>
      <c r="K13" s="18">
        <f t="shared" si="7"/>
        <v>303.60525718103008</v>
      </c>
      <c r="L13" s="16">
        <f t="shared" si="8"/>
        <v>0.12575732759325178</v>
      </c>
      <c r="M13" s="17">
        <f t="shared" si="9"/>
        <v>0.12575732759325178</v>
      </c>
      <c r="N13" s="18">
        <f t="shared" si="10"/>
        <v>0.12575732759325178</v>
      </c>
    </row>
    <row r="14" spans="1:14" x14ac:dyDescent="0.35">
      <c r="I14" s="19">
        <f>SUM(I2:I13)</f>
        <v>2414.2152428923096</v>
      </c>
      <c r="J14" s="19">
        <f>SUM(J2:J13)</f>
        <v>2414.2152428923096</v>
      </c>
      <c r="L14" s="19">
        <f>SUM(L2:L13)</f>
        <v>0.99999999999999989</v>
      </c>
      <c r="M14" s="19">
        <f>SUM(M2:M13)</f>
        <v>0.99999999999999989</v>
      </c>
      <c r="N14" s="19">
        <f>SUM(N2:N13)</f>
        <v>0.99999999999999989</v>
      </c>
    </row>
    <row r="16" spans="1:14" x14ac:dyDescent="0.35">
      <c r="A16" t="s">
        <v>10</v>
      </c>
    </row>
    <row r="18" spans="1:2" x14ac:dyDescent="0.35">
      <c r="A18" s="40" t="s">
        <v>1</v>
      </c>
      <c r="B18" s="40"/>
    </row>
    <row r="19" spans="1:2" x14ac:dyDescent="0.35">
      <c r="A19" s="1" t="s">
        <v>2</v>
      </c>
      <c r="B19" s="1">
        <v>5.5000000000000003E-4</v>
      </c>
    </row>
    <row r="20" spans="1:2" x14ac:dyDescent="0.35">
      <c r="A20" s="1" t="s">
        <v>3</v>
      </c>
      <c r="B20" s="1">
        <v>2.76</v>
      </c>
    </row>
  </sheetData>
  <mergeCells count="1">
    <mergeCell ref="A18:B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EC4D7-2608-4A80-B536-09BA8C09343F}">
  <dimension ref="A1:AP45"/>
  <sheetViews>
    <sheetView tabSelected="1" zoomScale="90" zoomScaleNormal="90" workbookViewId="0">
      <selection activeCell="G15" sqref="G15"/>
    </sheetView>
  </sheetViews>
  <sheetFormatPr defaultRowHeight="14.5" x14ac:dyDescent="0.35"/>
  <cols>
    <col min="2" max="2" width="15.36328125" bestFit="1" customWidth="1"/>
    <col min="3" max="3" width="12.81640625" bestFit="1" customWidth="1"/>
    <col min="4" max="4" width="10.81640625" customWidth="1"/>
    <col min="12" max="12" width="15.7265625" customWidth="1"/>
  </cols>
  <sheetData>
    <row r="1" spans="1:42" ht="16" x14ac:dyDescent="0.4">
      <c r="A1" s="36" t="s">
        <v>0</v>
      </c>
      <c r="B1" s="36" t="s">
        <v>21</v>
      </c>
      <c r="C1" s="36" t="s">
        <v>22</v>
      </c>
      <c r="D1" s="37" t="s">
        <v>18</v>
      </c>
      <c r="F1" s="30"/>
      <c r="I1" s="14"/>
      <c r="J1" s="14"/>
      <c r="M1" s="14"/>
      <c r="N1" s="14"/>
      <c r="Q1" s="14"/>
      <c r="R1" s="14"/>
      <c r="U1" s="14"/>
      <c r="V1" s="14"/>
      <c r="Y1" s="14"/>
      <c r="Z1" s="14"/>
      <c r="AC1" s="14"/>
      <c r="AD1" s="14"/>
      <c r="AG1" s="14"/>
      <c r="AH1" s="14"/>
      <c r="AK1" s="14"/>
      <c r="AL1" s="14"/>
      <c r="AO1" s="14"/>
      <c r="AP1" s="14"/>
    </row>
    <row r="2" spans="1:42" ht="16" x14ac:dyDescent="0.4">
      <c r="A2" s="38">
        <v>0</v>
      </c>
      <c r="B2" s="37">
        <v>1504.6999999999998</v>
      </c>
      <c r="C2" s="37">
        <v>1504.6999999999998</v>
      </c>
      <c r="D2" s="37">
        <v>2250</v>
      </c>
      <c r="E2" t="s">
        <v>19</v>
      </c>
      <c r="F2" s="31"/>
      <c r="I2" s="14"/>
      <c r="J2" s="14"/>
      <c r="K2" s="30"/>
      <c r="M2" s="32"/>
      <c r="N2" s="14"/>
    </row>
    <row r="3" spans="1:42" ht="16" x14ac:dyDescent="0.4">
      <c r="A3" s="38">
        <v>1</v>
      </c>
      <c r="B3" s="37">
        <v>1156</v>
      </c>
      <c r="C3" s="37">
        <v>1156</v>
      </c>
      <c r="D3" s="37">
        <v>1250</v>
      </c>
      <c r="E3" t="s">
        <v>20</v>
      </c>
      <c r="F3" s="33"/>
      <c r="K3" s="30"/>
    </row>
    <row r="4" spans="1:42" ht="16" x14ac:dyDescent="0.4">
      <c r="A4" s="38">
        <v>2</v>
      </c>
      <c r="B4" s="37">
        <v>1110.3</v>
      </c>
      <c r="C4" s="37">
        <v>1110.3</v>
      </c>
      <c r="D4" s="37">
        <v>600</v>
      </c>
      <c r="F4" s="33"/>
      <c r="K4" s="30"/>
    </row>
    <row r="5" spans="1:42" ht="16" x14ac:dyDescent="0.4">
      <c r="A5" s="38">
        <v>3</v>
      </c>
      <c r="B5" s="37">
        <v>1002.8</v>
      </c>
      <c r="C5" s="37">
        <v>1002.8</v>
      </c>
      <c r="D5" s="37">
        <v>350</v>
      </c>
      <c r="F5" s="31"/>
      <c r="I5" s="30"/>
      <c r="K5" s="30"/>
    </row>
    <row r="6" spans="1:42" ht="16" x14ac:dyDescent="0.4">
      <c r="A6" s="38">
        <v>4</v>
      </c>
      <c r="B6" s="37">
        <v>782.2</v>
      </c>
      <c r="C6" s="37">
        <v>782.2</v>
      </c>
      <c r="D6" s="37">
        <v>200</v>
      </c>
      <c r="F6" s="31"/>
      <c r="I6" s="35"/>
      <c r="K6" s="30"/>
    </row>
    <row r="7" spans="1:42" ht="16" x14ac:dyDescent="0.4">
      <c r="A7" s="38">
        <v>5</v>
      </c>
      <c r="B7" s="37">
        <v>662</v>
      </c>
      <c r="C7" s="39">
        <v>483.59999999999997</v>
      </c>
      <c r="D7" s="37">
        <v>125</v>
      </c>
      <c r="F7" s="33"/>
      <c r="J7" s="30"/>
      <c r="K7" s="30"/>
    </row>
    <row r="8" spans="1:42" ht="16" x14ac:dyDescent="0.4">
      <c r="A8" s="38">
        <v>6</v>
      </c>
      <c r="B8" s="37">
        <v>487.09999999999997</v>
      </c>
      <c r="C8" s="39">
        <v>0</v>
      </c>
      <c r="D8" s="37">
        <v>75</v>
      </c>
      <c r="F8" s="33"/>
      <c r="K8" s="30"/>
    </row>
    <row r="9" spans="1:42" ht="16" x14ac:dyDescent="0.4">
      <c r="A9" s="38">
        <v>7</v>
      </c>
      <c r="B9" s="37">
        <v>407.1</v>
      </c>
      <c r="C9" s="39">
        <v>0</v>
      </c>
      <c r="D9" s="37">
        <v>50</v>
      </c>
      <c r="F9" s="31"/>
      <c r="K9" s="30"/>
    </row>
    <row r="10" spans="1:42" ht="16" x14ac:dyDescent="0.4">
      <c r="A10" s="38">
        <v>8</v>
      </c>
      <c r="B10" s="37">
        <v>331.2</v>
      </c>
      <c r="C10" s="39">
        <v>0</v>
      </c>
      <c r="D10" s="37">
        <v>30</v>
      </c>
      <c r="F10" s="31"/>
      <c r="K10" s="30"/>
    </row>
    <row r="11" spans="1:42" ht="16" x14ac:dyDescent="0.4">
      <c r="A11" s="38">
        <v>9</v>
      </c>
      <c r="B11" s="37">
        <v>284.10000000000002</v>
      </c>
      <c r="C11" s="39">
        <v>0</v>
      </c>
      <c r="D11" s="37">
        <v>15</v>
      </c>
      <c r="F11" s="33"/>
      <c r="K11" s="30"/>
    </row>
    <row r="12" spans="1:42" ht="16" x14ac:dyDescent="0.4">
      <c r="A12" s="38">
        <v>10</v>
      </c>
      <c r="B12" s="37">
        <v>237.2</v>
      </c>
      <c r="C12" s="39">
        <v>0</v>
      </c>
      <c r="D12" s="37">
        <v>5</v>
      </c>
      <c r="F12" s="33"/>
      <c r="K12" s="30"/>
    </row>
    <row r="13" spans="1:42" x14ac:dyDescent="0.35">
      <c r="C13" s="31"/>
      <c r="F13" s="31"/>
      <c r="K13" s="30"/>
    </row>
    <row r="14" spans="1:42" x14ac:dyDescent="0.35">
      <c r="C14" s="31"/>
      <c r="F14" s="31"/>
      <c r="K14" s="30"/>
    </row>
    <row r="15" spans="1:42" x14ac:dyDescent="0.35">
      <c r="C15" s="31"/>
      <c r="F15" s="33"/>
      <c r="K15" s="30"/>
    </row>
    <row r="16" spans="1:42" x14ac:dyDescent="0.35">
      <c r="C16" s="31"/>
      <c r="F16" s="33"/>
      <c r="K16" s="30"/>
    </row>
    <row r="17" spans="3:11" x14ac:dyDescent="0.35">
      <c r="C17" s="31"/>
      <c r="F17" s="31"/>
      <c r="K17" s="30"/>
    </row>
    <row r="18" spans="3:11" x14ac:dyDescent="0.35">
      <c r="C18" s="31"/>
      <c r="F18" s="31"/>
      <c r="K18" s="30"/>
    </row>
    <row r="19" spans="3:11" x14ac:dyDescent="0.35">
      <c r="C19" s="31"/>
      <c r="F19" s="33"/>
      <c r="K19" s="30"/>
    </row>
    <row r="20" spans="3:11" x14ac:dyDescent="0.35">
      <c r="C20" s="31"/>
      <c r="F20" s="33"/>
      <c r="K20" s="30"/>
    </row>
    <row r="21" spans="3:11" x14ac:dyDescent="0.35">
      <c r="C21" s="31"/>
      <c r="F21" s="31"/>
      <c r="K21" s="30"/>
    </row>
    <row r="22" spans="3:11" x14ac:dyDescent="0.35">
      <c r="C22" s="31"/>
      <c r="F22" s="31"/>
      <c r="K22" s="30"/>
    </row>
    <row r="23" spans="3:11" x14ac:dyDescent="0.35">
      <c r="C23" s="31"/>
      <c r="F23" s="33"/>
      <c r="K23" s="30"/>
    </row>
    <row r="24" spans="3:11" x14ac:dyDescent="0.35">
      <c r="C24" s="31"/>
      <c r="F24" s="33"/>
      <c r="K24" s="30"/>
    </row>
    <row r="25" spans="3:11" x14ac:dyDescent="0.35">
      <c r="C25" s="31"/>
      <c r="F25" s="31"/>
      <c r="K25" s="30"/>
    </row>
    <row r="26" spans="3:11" x14ac:dyDescent="0.35">
      <c r="C26" s="31"/>
      <c r="F26" s="31"/>
      <c r="K26" s="30"/>
    </row>
    <row r="27" spans="3:11" x14ac:dyDescent="0.35">
      <c r="C27" s="31"/>
      <c r="F27" s="33"/>
      <c r="K27" s="30"/>
    </row>
    <row r="28" spans="3:11" x14ac:dyDescent="0.35">
      <c r="C28" s="31"/>
      <c r="F28" s="33"/>
      <c r="K28" s="30"/>
    </row>
    <row r="29" spans="3:11" x14ac:dyDescent="0.35">
      <c r="C29" s="31"/>
      <c r="F29" s="31"/>
      <c r="K29" s="30"/>
    </row>
    <row r="30" spans="3:11" x14ac:dyDescent="0.35">
      <c r="C30" s="31"/>
      <c r="F30" s="31"/>
      <c r="K30" s="30"/>
    </row>
    <row r="31" spans="3:11" x14ac:dyDescent="0.35">
      <c r="C31" s="31"/>
      <c r="F31" s="33"/>
      <c r="K31" s="30"/>
    </row>
    <row r="32" spans="3:11" x14ac:dyDescent="0.35">
      <c r="C32" s="31"/>
      <c r="F32" s="33"/>
      <c r="K32" s="30"/>
    </row>
    <row r="33" spans="3:11" x14ac:dyDescent="0.35">
      <c r="C33" s="31"/>
      <c r="F33" s="31"/>
      <c r="K33" s="30"/>
    </row>
    <row r="34" spans="3:11" x14ac:dyDescent="0.35">
      <c r="C34" s="31"/>
      <c r="F34" s="31"/>
      <c r="K34" s="30"/>
    </row>
    <row r="35" spans="3:11" x14ac:dyDescent="0.35">
      <c r="C35" s="31"/>
      <c r="F35" s="33"/>
      <c r="K35" s="30"/>
    </row>
    <row r="36" spans="3:11" x14ac:dyDescent="0.35">
      <c r="C36" s="31"/>
      <c r="F36" s="33"/>
      <c r="K36" s="30"/>
    </row>
    <row r="37" spans="3:11" x14ac:dyDescent="0.35">
      <c r="C37" s="31"/>
      <c r="F37" s="31"/>
      <c r="K37" s="30"/>
    </row>
    <row r="38" spans="3:11" x14ac:dyDescent="0.35">
      <c r="C38" s="31"/>
      <c r="F38" s="31"/>
      <c r="K38" s="30"/>
    </row>
    <row r="39" spans="3:11" x14ac:dyDescent="0.35">
      <c r="C39" s="31"/>
      <c r="F39" s="31"/>
      <c r="K39" s="30"/>
    </row>
    <row r="40" spans="3:11" x14ac:dyDescent="0.35">
      <c r="C40" s="31"/>
      <c r="F40" s="31"/>
      <c r="K40" s="30"/>
    </row>
    <row r="41" spans="3:11" x14ac:dyDescent="0.35">
      <c r="C41" s="31"/>
      <c r="F41" s="31"/>
      <c r="K41" s="30"/>
    </row>
    <row r="42" spans="3:11" x14ac:dyDescent="0.35">
      <c r="C42" s="31"/>
      <c r="F42" s="31"/>
      <c r="K42" s="30"/>
    </row>
    <row r="43" spans="3:11" x14ac:dyDescent="0.35">
      <c r="C43" s="31"/>
      <c r="F43" s="31"/>
      <c r="K43" s="30"/>
    </row>
    <row r="44" spans="3:11" x14ac:dyDescent="0.35">
      <c r="C44" s="31"/>
      <c r="F44" s="31"/>
      <c r="K44" s="30"/>
    </row>
    <row r="45" spans="3:11" x14ac:dyDescent="0.35">
      <c r="F45" s="34"/>
      <c r="K45" s="3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Weight</vt:lpstr>
      <vt:lpstr>Demographics</vt:lpstr>
    </vt:vector>
  </TitlesOfParts>
  <Company>Oregon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Pinos, Andres</dc:creator>
  <cp:lastModifiedBy>Pinos, Andres</cp:lastModifiedBy>
  <dcterms:created xsi:type="dcterms:W3CDTF">2025-09-08T18:15:35Z</dcterms:created>
  <dcterms:modified xsi:type="dcterms:W3CDTF">2026-04-24T01:18:41Z</dcterms:modified>
</cp:coreProperties>
</file>