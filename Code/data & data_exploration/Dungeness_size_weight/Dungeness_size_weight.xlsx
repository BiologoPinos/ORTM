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nosa\Documents\Git\OR_trophic_model\Code\data &amp; data_exploration\Dungeness_size_weight\"/>
    </mc:Choice>
  </mc:AlternateContent>
  <xr:revisionPtr revIDLastSave="0" documentId="13_ncr:1_{8DEC76EE-678C-4B12-AC5B-6F75A26528EA}" xr6:coauthVersionLast="47" xr6:coauthVersionMax="47" xr10:uidLastSave="{00000000-0000-0000-0000-000000000000}"/>
  <bookViews>
    <workbookView xWindow="28680" yWindow="-120" windowWidth="19440" windowHeight="14880" xr2:uid="{DB846765-97F4-4E10-A3BF-2060A5F2C6B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H4" i="1"/>
  <c r="I4" i="1"/>
  <c r="H5" i="1"/>
  <c r="I5" i="1"/>
  <c r="H6" i="1"/>
  <c r="I6" i="1"/>
  <c r="H7" i="1"/>
  <c r="I7" i="1"/>
  <c r="H8" i="1"/>
  <c r="I8" i="1"/>
  <c r="H9" i="1"/>
  <c r="J9" i="1" s="1"/>
  <c r="I9" i="1"/>
  <c r="I10" i="1"/>
  <c r="H11" i="1"/>
  <c r="I11" i="1"/>
  <c r="H12" i="1"/>
  <c r="I12" i="1"/>
  <c r="I13" i="1"/>
  <c r="I2" i="1"/>
  <c r="H2" i="1"/>
  <c r="J2" i="1"/>
  <c r="D3" i="1"/>
  <c r="D4" i="1"/>
  <c r="D5" i="1"/>
  <c r="D6" i="1"/>
  <c r="D7" i="1"/>
  <c r="D8" i="1"/>
  <c r="D9" i="1"/>
  <c r="D10" i="1"/>
  <c r="D11" i="1"/>
  <c r="D12" i="1"/>
  <c r="D13" i="1"/>
  <c r="D2" i="1"/>
  <c r="G2" i="1"/>
  <c r="G3" i="1"/>
  <c r="G4" i="1"/>
  <c r="G5" i="1"/>
  <c r="G6" i="1"/>
  <c r="G7" i="1"/>
  <c r="G13" i="1"/>
  <c r="F3" i="1"/>
  <c r="F4" i="1"/>
  <c r="F5" i="1"/>
  <c r="F6" i="1"/>
  <c r="F7" i="1"/>
  <c r="F8" i="1"/>
  <c r="F9" i="1"/>
  <c r="F10" i="1"/>
  <c r="F11" i="1"/>
  <c r="F12" i="1"/>
  <c r="F13" i="1"/>
  <c r="F2" i="1"/>
  <c r="E3" i="1"/>
  <c r="J3" i="1" s="1"/>
  <c r="E4" i="1"/>
  <c r="E5" i="1"/>
  <c r="E6" i="1"/>
  <c r="E7" i="1"/>
  <c r="E8" i="1"/>
  <c r="G8" i="1" s="1"/>
  <c r="E9" i="1"/>
  <c r="G9" i="1" s="1"/>
  <c r="E10" i="1"/>
  <c r="H10" i="1" s="1"/>
  <c r="E11" i="1"/>
  <c r="G11" i="1" s="1"/>
  <c r="E12" i="1"/>
  <c r="E13" i="1"/>
  <c r="H13" i="1" s="1"/>
  <c r="J13" i="1" s="1"/>
  <c r="E2" i="1"/>
  <c r="J12" i="1" l="1"/>
  <c r="I14" i="1"/>
  <c r="J10" i="1"/>
  <c r="J7" i="1"/>
  <c r="J6" i="1"/>
  <c r="J5" i="1"/>
  <c r="J4" i="1"/>
  <c r="G12" i="1"/>
  <c r="G10" i="1"/>
  <c r="J11" i="1"/>
  <c r="J8" i="1"/>
  <c r="L10" i="1" l="1"/>
  <c r="L11" i="1"/>
  <c r="L12" i="1"/>
  <c r="L13" i="1"/>
  <c r="L2" i="1"/>
  <c r="L3" i="1"/>
  <c r="L4" i="1"/>
  <c r="L5" i="1"/>
  <c r="L6" i="1"/>
  <c r="L7" i="1"/>
  <c r="L8" i="1"/>
  <c r="L9" i="1"/>
  <c r="H14" i="1"/>
  <c r="L14" i="1" l="1"/>
  <c r="K13" i="1"/>
  <c r="M13" i="1" s="1"/>
  <c r="K6" i="1"/>
  <c r="M6" i="1" s="1"/>
  <c r="K12" i="1"/>
  <c r="M12" i="1" s="1"/>
  <c r="K2" i="1"/>
  <c r="K3" i="1"/>
  <c r="M3" i="1" s="1"/>
  <c r="K8" i="1"/>
  <c r="M8" i="1" s="1"/>
  <c r="K10" i="1"/>
  <c r="M10" i="1" s="1"/>
  <c r="K4" i="1"/>
  <c r="M4" i="1" s="1"/>
  <c r="K5" i="1"/>
  <c r="M5" i="1" s="1"/>
  <c r="K7" i="1"/>
  <c r="M7" i="1" s="1"/>
  <c r="K9" i="1"/>
  <c r="M9" i="1" s="1"/>
  <c r="K11" i="1"/>
  <c r="M11" i="1" s="1"/>
  <c r="M2" i="1" l="1"/>
  <c r="M14" i="1" s="1"/>
  <c r="K14" i="1"/>
</calcChain>
</file>

<file path=xl/sharedStrings.xml><?xml version="1.0" encoding="utf-8"?>
<sst xmlns="http://schemas.openxmlformats.org/spreadsheetml/2006/main" count="17" uniqueCount="17">
  <si>
    <t>Age</t>
  </si>
  <si>
    <t>Relationship</t>
  </si>
  <si>
    <t>Wight</t>
  </si>
  <si>
    <t>Width</t>
  </si>
  <si>
    <t>Carapace Width (mm) - male</t>
  </si>
  <si>
    <t>Carapace Width (mm) - female</t>
  </si>
  <si>
    <t>Carapace Width (mm) - average</t>
  </si>
  <si>
    <t>Weight (g) - male</t>
  </si>
  <si>
    <t>Weight (g) - female</t>
  </si>
  <si>
    <t>Weight (g) - average</t>
  </si>
  <si>
    <t>Note: carapace width are visual aproximations from (Botsford &amp; Wickham, 1978). Furthermore, that paper only covers up to age 6, red text is aproximations</t>
  </si>
  <si>
    <t>Scale male</t>
  </si>
  <si>
    <t>Scale Female</t>
  </si>
  <si>
    <t>Scale Average</t>
  </si>
  <si>
    <t>Weight^0.75 - male</t>
  </si>
  <si>
    <t>Weight^0.75 - female</t>
  </si>
  <si>
    <t>Weight^0.75 -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</si>
</sst>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4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/>
    <xf numFmtId="2" fontId="0" fillId="0" borderId="0" xfId="0" applyNumberFormat="1" applyBorder="1"/>
    <xf numFmtId="2" fontId="0" fillId="0" borderId="3" xfId="0" applyNumberFormat="1" applyBorder="1"/>
    <xf numFmtId="1" fontId="1" fillId="0" borderId="0" xfId="0" applyNumberFormat="1" applyFont="1" applyFill="1" applyBorder="1"/>
    <xf numFmtId="2" fontId="1" fillId="0" borderId="0" xfId="0" applyNumberFormat="1" applyFont="1" applyBorder="1"/>
    <xf numFmtId="2" fontId="1" fillId="0" borderId="3" xfId="0" applyNumberFormat="1" applyFont="1" applyBorder="1"/>
    <xf numFmtId="1" fontId="1" fillId="0" borderId="5" xfId="0" applyNumberFormat="1" applyFont="1" applyFill="1" applyBorder="1"/>
    <xf numFmtId="2" fontId="1" fillId="0" borderId="5" xfId="0" applyNumberFormat="1" applyFont="1" applyBorder="1"/>
    <xf numFmtId="2" fontId="1" fillId="0" borderId="6" xfId="0" applyNumberFormat="1" applyFont="1" applyBorder="1"/>
    <xf numFmtId="0" fontId="0" fillId="0" borderId="0" xfId="0" applyFill="1" applyBorder="1"/>
    <xf numFmtId="0" fontId="0" fillId="0" borderId="2" xfId="0" applyFill="1" applyBorder="1"/>
    <xf numFmtId="2" fontId="0" fillId="0" borderId="3" xfId="0" applyNumberFormat="1" applyFill="1" applyBorder="1"/>
    <xf numFmtId="1" fontId="1" fillId="0" borderId="2" xfId="0" applyNumberFormat="1" applyFont="1" applyFill="1" applyBorder="1"/>
    <xf numFmtId="2" fontId="1" fillId="0" borderId="3" xfId="0" applyNumberFormat="1" applyFont="1" applyFill="1" applyBorder="1"/>
    <xf numFmtId="1" fontId="1" fillId="0" borderId="4" xfId="0" applyNumberFormat="1" applyFont="1" applyFill="1" applyBorder="1"/>
    <xf numFmtId="2" fontId="1" fillId="0" borderId="6" xfId="0" applyNumberFormat="1" applyFont="1" applyFill="1" applyBorder="1"/>
    <xf numFmtId="11" fontId="0" fillId="0" borderId="2" xfId="0" applyNumberFormat="1" applyBorder="1"/>
    <xf numFmtId="11" fontId="0" fillId="0" borderId="0" xfId="0" applyNumberFormat="1" applyBorder="1"/>
    <xf numFmtId="11" fontId="0" fillId="0" borderId="3" xfId="0" applyNumberFormat="1" applyBorder="1"/>
    <xf numFmtId="11" fontId="0" fillId="0" borderId="4" xfId="0" applyNumberFormat="1" applyBorder="1"/>
    <xf numFmtId="11" fontId="0" fillId="0" borderId="5" xfId="0" applyNumberFormat="1" applyBorder="1"/>
    <xf numFmtId="11" fontId="0" fillId="0" borderId="6" xfId="0" applyNumberFormat="1" applyBorder="1"/>
    <xf numFmtId="11" fontId="2" fillId="0" borderId="0" xfId="0" applyNumberFormat="1" applyFont="1"/>
    <xf numFmtId="0" fontId="2" fillId="0" borderId="1" xfId="0" applyFont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 wrapText="1"/>
    </xf>
    <xf numFmtId="0" fontId="2" fillId="0" borderId="11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349B4-1F32-4189-A97C-8EFECC725A4B}">
  <dimension ref="A1:M20"/>
  <sheetViews>
    <sheetView tabSelected="1" workbookViewId="0">
      <selection activeCell="M19" sqref="M19"/>
    </sheetView>
  </sheetViews>
  <sheetFormatPr defaultRowHeight="14.5" x14ac:dyDescent="0.35"/>
  <cols>
    <col min="2" max="4" width="15.08984375" customWidth="1"/>
    <col min="5" max="5" width="10.54296875" customWidth="1"/>
    <col min="6" max="6" width="9.81640625" customWidth="1"/>
    <col min="7" max="7" width="10.453125" customWidth="1"/>
    <col min="8" max="10" width="11.26953125" customWidth="1"/>
  </cols>
  <sheetData>
    <row r="1" spans="1:13" ht="29" x14ac:dyDescent="0.35">
      <c r="A1" s="25" t="s">
        <v>0</v>
      </c>
      <c r="B1" s="26" t="s">
        <v>4</v>
      </c>
      <c r="C1" s="27" t="s">
        <v>5</v>
      </c>
      <c r="D1" s="28" t="s">
        <v>6</v>
      </c>
      <c r="E1" s="29" t="s">
        <v>7</v>
      </c>
      <c r="F1" s="29" t="s">
        <v>8</v>
      </c>
      <c r="G1" s="30" t="s">
        <v>9</v>
      </c>
      <c r="H1" s="26" t="s">
        <v>14</v>
      </c>
      <c r="I1" s="29" t="s">
        <v>15</v>
      </c>
      <c r="J1" s="28" t="s">
        <v>16</v>
      </c>
      <c r="K1" s="26" t="s">
        <v>11</v>
      </c>
      <c r="L1" s="27" t="s">
        <v>12</v>
      </c>
      <c r="M1" s="28" t="s">
        <v>13</v>
      </c>
    </row>
    <row r="2" spans="1:13" x14ac:dyDescent="0.35">
      <c r="A2" s="31">
        <v>0</v>
      </c>
      <c r="B2" s="12">
        <v>5</v>
      </c>
      <c r="C2" s="11">
        <v>5</v>
      </c>
      <c r="D2" s="13">
        <f>AVERAGE(B2:C2)</f>
        <v>5</v>
      </c>
      <c r="E2" s="3">
        <f>0.00055*B2^2.76</f>
        <v>4.6721836087344738E-2</v>
      </c>
      <c r="F2" s="3">
        <f>0.00055*C2^2.76</f>
        <v>4.6721836087344738E-2</v>
      </c>
      <c r="G2" s="4">
        <f>AVERAGE(E2:F2)</f>
        <v>4.6721836087344738E-2</v>
      </c>
      <c r="H2" s="18">
        <f>E2^0.75</f>
        <v>0.10049395213401759</v>
      </c>
      <c r="I2" s="19">
        <f>F2^0.75</f>
        <v>0.10049395213401759</v>
      </c>
      <c r="J2" s="20">
        <f>AVERAGE(H2:I2)</f>
        <v>0.10049395213401759</v>
      </c>
      <c r="K2" s="18">
        <f>H2/$H$14</f>
        <v>3.3259549662600891E-5</v>
      </c>
      <c r="L2" s="19">
        <f>I2/$I$14</f>
        <v>7.2603941518581641E-5</v>
      </c>
      <c r="M2" s="20">
        <f>AVERAGE(K2:L2)</f>
        <v>5.2931745590591266E-5</v>
      </c>
    </row>
    <row r="3" spans="1:13" x14ac:dyDescent="0.35">
      <c r="A3" s="32">
        <v>1</v>
      </c>
      <c r="B3" s="12">
        <v>30</v>
      </c>
      <c r="C3" s="11">
        <v>30</v>
      </c>
      <c r="D3" s="13">
        <f t="shared" ref="D3:D13" si="0">AVERAGE(B3:C3)</f>
        <v>30</v>
      </c>
      <c r="E3" s="3">
        <f t="shared" ref="E3:E13" si="1">0.00055*B3^2.76</f>
        <v>6.5647373126565141</v>
      </c>
      <c r="F3" s="3">
        <f t="shared" ref="F3:F13" si="2">0.00055*C3^2.76</f>
        <v>6.5647373126565141</v>
      </c>
      <c r="G3" s="4">
        <f t="shared" ref="G3:G13" si="3">AVERAGE(E3:F3)</f>
        <v>6.5647373126565141</v>
      </c>
      <c r="H3" s="18">
        <f t="shared" ref="H3:H13" si="4">E3^0.75</f>
        <v>4.1012195070906303</v>
      </c>
      <c r="I3" s="19">
        <f t="shared" ref="I3:I13" si="5">F3^0.75</f>
        <v>4.1012195070906303</v>
      </c>
      <c r="J3" s="20">
        <f t="shared" ref="J3:J13" si="6">AVERAGE(H3:I3)</f>
        <v>4.1012195070906303</v>
      </c>
      <c r="K3" s="18">
        <f t="shared" ref="K3:L13" si="7">H3/$H$14</f>
        <v>1.3573425164073614E-3</v>
      </c>
      <c r="L3" s="19">
        <f t="shared" ref="L3:L13" si="8">I3/$I$14</f>
        <v>2.9630111556422697E-3</v>
      </c>
      <c r="M3" s="20">
        <f t="shared" ref="M3:M13" si="9">AVERAGE(K3:L3)</f>
        <v>2.1601768360248155E-3</v>
      </c>
    </row>
    <row r="4" spans="1:13" x14ac:dyDescent="0.35">
      <c r="A4" s="32">
        <v>2</v>
      </c>
      <c r="B4" s="12">
        <v>120</v>
      </c>
      <c r="C4" s="11">
        <v>120</v>
      </c>
      <c r="D4" s="13">
        <f t="shared" si="0"/>
        <v>120</v>
      </c>
      <c r="E4" s="3">
        <f t="shared" si="1"/>
        <v>301.23326468253157</v>
      </c>
      <c r="F4" s="3">
        <f t="shared" si="2"/>
        <v>301.23326468253157</v>
      </c>
      <c r="G4" s="4">
        <f t="shared" si="3"/>
        <v>301.23326468253157</v>
      </c>
      <c r="H4" s="18">
        <f t="shared" si="4"/>
        <v>72.306476099137797</v>
      </c>
      <c r="I4" s="19">
        <f t="shared" si="5"/>
        <v>72.306476099137797</v>
      </c>
      <c r="J4" s="20">
        <f t="shared" si="6"/>
        <v>72.306476099137797</v>
      </c>
      <c r="K4" s="18">
        <f t="shared" si="7"/>
        <v>2.3930602605217635E-2</v>
      </c>
      <c r="L4" s="19">
        <f t="shared" si="8"/>
        <v>5.2239314412826907E-2</v>
      </c>
      <c r="M4" s="20">
        <f t="shared" si="9"/>
        <v>3.8084958509022271E-2</v>
      </c>
    </row>
    <row r="5" spans="1:13" x14ac:dyDescent="0.35">
      <c r="A5" s="32">
        <v>3</v>
      </c>
      <c r="B5" s="12">
        <v>140</v>
      </c>
      <c r="C5" s="11">
        <v>135</v>
      </c>
      <c r="D5" s="13">
        <f t="shared" si="0"/>
        <v>137.5</v>
      </c>
      <c r="E5" s="3">
        <f t="shared" si="1"/>
        <v>460.97361480571567</v>
      </c>
      <c r="F5" s="3">
        <f t="shared" si="2"/>
        <v>416.94991586755117</v>
      </c>
      <c r="G5" s="4">
        <f t="shared" si="3"/>
        <v>438.96176533663345</v>
      </c>
      <c r="H5" s="18">
        <f t="shared" si="4"/>
        <v>99.484873252880845</v>
      </c>
      <c r="I5" s="19">
        <f t="shared" si="5"/>
        <v>92.270509329385135</v>
      </c>
      <c r="J5" s="20">
        <f t="shared" si="6"/>
        <v>95.87769129113299</v>
      </c>
      <c r="K5" s="18">
        <f t="shared" si="7"/>
        <v>3.2925584200521218E-2</v>
      </c>
      <c r="L5" s="19">
        <f t="shared" si="8"/>
        <v>6.6662744582942066E-2</v>
      </c>
      <c r="M5" s="20">
        <f t="shared" si="9"/>
        <v>4.9794164391731642E-2</v>
      </c>
    </row>
    <row r="6" spans="1:13" x14ac:dyDescent="0.35">
      <c r="A6" s="32">
        <v>4</v>
      </c>
      <c r="B6" s="12">
        <v>170</v>
      </c>
      <c r="C6" s="11">
        <v>145</v>
      </c>
      <c r="D6" s="13">
        <f t="shared" si="0"/>
        <v>157.5</v>
      </c>
      <c r="E6" s="3">
        <f t="shared" si="1"/>
        <v>787.77412590922711</v>
      </c>
      <c r="F6" s="3">
        <f t="shared" si="2"/>
        <v>507.85341324974451</v>
      </c>
      <c r="G6" s="4">
        <f t="shared" si="3"/>
        <v>647.81376957948578</v>
      </c>
      <c r="H6" s="18">
        <f t="shared" si="4"/>
        <v>148.69668423880856</v>
      </c>
      <c r="I6" s="19">
        <f t="shared" si="5"/>
        <v>106.98029268742796</v>
      </c>
      <c r="J6" s="20">
        <f t="shared" si="6"/>
        <v>127.83848846311827</v>
      </c>
      <c r="K6" s="18">
        <f t="shared" si="7"/>
        <v>4.9212760062509638E-2</v>
      </c>
      <c r="L6" s="19">
        <f t="shared" si="8"/>
        <v>7.7290132878449547E-2</v>
      </c>
      <c r="M6" s="20">
        <f t="shared" si="9"/>
        <v>6.3251446470479589E-2</v>
      </c>
    </row>
    <row r="7" spans="1:13" x14ac:dyDescent="0.35">
      <c r="A7" s="32">
        <v>5</v>
      </c>
      <c r="B7" s="12">
        <v>200</v>
      </c>
      <c r="C7" s="11">
        <v>155</v>
      </c>
      <c r="D7" s="13">
        <f t="shared" si="0"/>
        <v>177.5</v>
      </c>
      <c r="E7" s="3">
        <f t="shared" si="1"/>
        <v>1233.6883895280118</v>
      </c>
      <c r="F7" s="3">
        <f t="shared" si="2"/>
        <v>610.48946860478907</v>
      </c>
      <c r="G7" s="4">
        <f t="shared" si="3"/>
        <v>922.0889290664004</v>
      </c>
      <c r="H7" s="18">
        <f t="shared" si="4"/>
        <v>208.16327317248337</v>
      </c>
      <c r="I7" s="19">
        <f t="shared" si="5"/>
        <v>122.81704170937762</v>
      </c>
      <c r="J7" s="20">
        <f t="shared" si="6"/>
        <v>165.49015744093049</v>
      </c>
      <c r="K7" s="18">
        <f t="shared" si="7"/>
        <v>6.8893864506162292E-2</v>
      </c>
      <c r="L7" s="19">
        <f t="shared" si="8"/>
        <v>8.8731720908550235E-2</v>
      </c>
      <c r="M7" s="20">
        <f t="shared" si="9"/>
        <v>7.8812792707356263E-2</v>
      </c>
    </row>
    <row r="8" spans="1:13" x14ac:dyDescent="0.35">
      <c r="A8" s="32">
        <v>6</v>
      </c>
      <c r="B8" s="12">
        <v>245</v>
      </c>
      <c r="C8" s="11">
        <v>170</v>
      </c>
      <c r="D8" s="13">
        <f t="shared" si="0"/>
        <v>207.5</v>
      </c>
      <c r="E8" s="3">
        <f t="shared" si="1"/>
        <v>2160.0364625927077</v>
      </c>
      <c r="F8" s="3">
        <f t="shared" si="2"/>
        <v>787.77412590922711</v>
      </c>
      <c r="G8" s="4">
        <f t="shared" si="3"/>
        <v>1473.9052942509675</v>
      </c>
      <c r="H8" s="18">
        <f t="shared" si="4"/>
        <v>316.84423663163165</v>
      </c>
      <c r="I8" s="19">
        <f t="shared" si="5"/>
        <v>148.69668423880856</v>
      </c>
      <c r="J8" s="20">
        <f t="shared" si="6"/>
        <v>232.77046043522012</v>
      </c>
      <c r="K8" s="18">
        <f t="shared" si="7"/>
        <v>0.10486299324266932</v>
      </c>
      <c r="L8" s="19">
        <f t="shared" si="8"/>
        <v>0.10742900579812088</v>
      </c>
      <c r="M8" s="20">
        <f t="shared" si="9"/>
        <v>0.10614599952039511</v>
      </c>
    </row>
    <row r="9" spans="1:13" x14ac:dyDescent="0.35">
      <c r="A9" s="32">
        <v>7</v>
      </c>
      <c r="B9" s="14">
        <v>285.333333333334</v>
      </c>
      <c r="C9" s="5">
        <v>180</v>
      </c>
      <c r="D9" s="15">
        <f t="shared" si="0"/>
        <v>232.666666666667</v>
      </c>
      <c r="E9" s="6">
        <f t="shared" si="1"/>
        <v>3289.5433728810085</v>
      </c>
      <c r="F9" s="6">
        <f t="shared" si="2"/>
        <v>922.39046221596925</v>
      </c>
      <c r="G9" s="7">
        <f t="shared" si="3"/>
        <v>2105.9669175484887</v>
      </c>
      <c r="H9" s="18">
        <f t="shared" si="4"/>
        <v>434.36188856594418</v>
      </c>
      <c r="I9" s="19">
        <f t="shared" si="5"/>
        <v>167.37327061144691</v>
      </c>
      <c r="J9" s="20">
        <f t="shared" si="6"/>
        <v>300.86757958869555</v>
      </c>
      <c r="K9" s="18">
        <f t="shared" si="7"/>
        <v>0.14375671866336995</v>
      </c>
      <c r="L9" s="19">
        <f t="shared" si="8"/>
        <v>0.12092229326438986</v>
      </c>
      <c r="M9" s="20">
        <f t="shared" si="9"/>
        <v>0.13233950596387989</v>
      </c>
    </row>
    <row r="10" spans="1:13" x14ac:dyDescent="0.35">
      <c r="A10" s="32">
        <v>8</v>
      </c>
      <c r="B10" s="14">
        <v>285.333333333334</v>
      </c>
      <c r="C10" s="5">
        <v>180</v>
      </c>
      <c r="D10" s="15">
        <f t="shared" si="0"/>
        <v>232.666666666667</v>
      </c>
      <c r="E10" s="6">
        <f t="shared" si="1"/>
        <v>3289.5433728810085</v>
      </c>
      <c r="F10" s="6">
        <f t="shared" si="2"/>
        <v>922.39046221596925</v>
      </c>
      <c r="G10" s="7">
        <f t="shared" si="3"/>
        <v>2105.9669175484887</v>
      </c>
      <c r="H10" s="18">
        <f t="shared" si="4"/>
        <v>434.36188856594418</v>
      </c>
      <c r="I10" s="19">
        <f t="shared" si="5"/>
        <v>167.37327061144691</v>
      </c>
      <c r="J10" s="20">
        <f t="shared" si="6"/>
        <v>300.86757958869555</v>
      </c>
      <c r="K10" s="18">
        <f t="shared" si="7"/>
        <v>0.14375671866336995</v>
      </c>
      <c r="L10" s="19">
        <f t="shared" si="8"/>
        <v>0.12092229326438986</v>
      </c>
      <c r="M10" s="20">
        <f t="shared" si="9"/>
        <v>0.13233950596387989</v>
      </c>
    </row>
    <row r="11" spans="1:13" x14ac:dyDescent="0.35">
      <c r="A11" s="32">
        <v>9</v>
      </c>
      <c r="B11" s="14">
        <v>285.333333333334</v>
      </c>
      <c r="C11" s="5">
        <v>180</v>
      </c>
      <c r="D11" s="15">
        <f t="shared" si="0"/>
        <v>232.666666666667</v>
      </c>
      <c r="E11" s="6">
        <f t="shared" si="1"/>
        <v>3289.5433728810085</v>
      </c>
      <c r="F11" s="6">
        <f t="shared" si="2"/>
        <v>922.39046221596925</v>
      </c>
      <c r="G11" s="7">
        <f t="shared" si="3"/>
        <v>2105.9669175484887</v>
      </c>
      <c r="H11" s="18">
        <f t="shared" si="4"/>
        <v>434.36188856594418</v>
      </c>
      <c r="I11" s="19">
        <f t="shared" si="5"/>
        <v>167.37327061144691</v>
      </c>
      <c r="J11" s="20">
        <f t="shared" si="6"/>
        <v>300.86757958869555</v>
      </c>
      <c r="K11" s="18">
        <f t="shared" si="7"/>
        <v>0.14375671866336995</v>
      </c>
      <c r="L11" s="19">
        <f t="shared" si="8"/>
        <v>0.12092229326438986</v>
      </c>
      <c r="M11" s="20">
        <f t="shared" si="9"/>
        <v>0.13233950596387989</v>
      </c>
    </row>
    <row r="12" spans="1:13" x14ac:dyDescent="0.35">
      <c r="A12" s="32">
        <v>10</v>
      </c>
      <c r="B12" s="14">
        <v>285.333333333334</v>
      </c>
      <c r="C12" s="5">
        <v>180</v>
      </c>
      <c r="D12" s="15">
        <f t="shared" si="0"/>
        <v>232.666666666667</v>
      </c>
      <c r="E12" s="6">
        <f t="shared" si="1"/>
        <v>3289.5433728810085</v>
      </c>
      <c r="F12" s="6">
        <f t="shared" si="2"/>
        <v>922.39046221596925</v>
      </c>
      <c r="G12" s="7">
        <f t="shared" si="3"/>
        <v>2105.9669175484887</v>
      </c>
      <c r="H12" s="18">
        <f t="shared" si="4"/>
        <v>434.36188856594418</v>
      </c>
      <c r="I12" s="19">
        <f t="shared" si="5"/>
        <v>167.37327061144691</v>
      </c>
      <c r="J12" s="20">
        <f t="shared" si="6"/>
        <v>300.86757958869555</v>
      </c>
      <c r="K12" s="18">
        <f t="shared" si="7"/>
        <v>0.14375671866336995</v>
      </c>
      <c r="L12" s="19">
        <f t="shared" si="8"/>
        <v>0.12092229326438986</v>
      </c>
      <c r="M12" s="20">
        <f t="shared" si="9"/>
        <v>0.13233950596387989</v>
      </c>
    </row>
    <row r="13" spans="1:13" x14ac:dyDescent="0.35">
      <c r="A13" s="33">
        <v>11</v>
      </c>
      <c r="B13" s="16">
        <v>285.333333333334</v>
      </c>
      <c r="C13" s="8">
        <v>180</v>
      </c>
      <c r="D13" s="17">
        <f t="shared" si="0"/>
        <v>232.666666666667</v>
      </c>
      <c r="E13" s="9">
        <f t="shared" si="1"/>
        <v>3289.5433728810085</v>
      </c>
      <c r="F13" s="9">
        <f t="shared" si="2"/>
        <v>922.39046221596925</v>
      </c>
      <c r="G13" s="10">
        <f t="shared" si="3"/>
        <v>2105.9669175484887</v>
      </c>
      <c r="H13" s="21">
        <f t="shared" si="4"/>
        <v>434.36188856594418</v>
      </c>
      <c r="I13" s="22">
        <f t="shared" si="5"/>
        <v>167.37327061144691</v>
      </c>
      <c r="J13" s="23">
        <f t="shared" si="6"/>
        <v>300.86757958869555</v>
      </c>
      <c r="K13" s="21">
        <f t="shared" si="7"/>
        <v>0.14375671866336995</v>
      </c>
      <c r="L13" s="22">
        <f t="shared" si="8"/>
        <v>0.12092229326438986</v>
      </c>
      <c r="M13" s="23">
        <f t="shared" si="9"/>
        <v>0.13233950596387989</v>
      </c>
    </row>
    <row r="14" spans="1:13" x14ac:dyDescent="0.35">
      <c r="H14" s="24">
        <f>SUM(H2:H13)</f>
        <v>3021.5066996838882</v>
      </c>
      <c r="I14" s="24">
        <f>SUM(I2:I13)</f>
        <v>1384.1390705805966</v>
      </c>
      <c r="K14" s="24">
        <f>SUM(K2:K13)</f>
        <v>0.99999999999999967</v>
      </c>
      <c r="L14" s="24">
        <f>SUM(L2:L13)</f>
        <v>0.99999999999999978</v>
      </c>
      <c r="M14" s="24">
        <f>SUM(M2:M13)</f>
        <v>0.99999999999999978</v>
      </c>
    </row>
    <row r="16" spans="1:13" x14ac:dyDescent="0.35">
      <c r="A16" t="s">
        <v>10</v>
      </c>
    </row>
    <row r="18" spans="1:2" x14ac:dyDescent="0.35">
      <c r="A18" s="1" t="s">
        <v>1</v>
      </c>
      <c r="B18" s="1"/>
    </row>
    <row r="19" spans="1:2" x14ac:dyDescent="0.35">
      <c r="A19" s="2" t="s">
        <v>2</v>
      </c>
      <c r="B19" s="2">
        <v>5.5000000000000003E-4</v>
      </c>
    </row>
    <row r="20" spans="1:2" x14ac:dyDescent="0.35">
      <c r="A20" s="2" t="s">
        <v>3</v>
      </c>
      <c r="B20" s="2">
        <v>2.76</v>
      </c>
    </row>
  </sheetData>
  <mergeCells count="1"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Oregon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Pinos, Andres</dc:creator>
  <cp:lastModifiedBy>Pinos, Andres</cp:lastModifiedBy>
  <dcterms:created xsi:type="dcterms:W3CDTF">2025-09-08T18:15:35Z</dcterms:created>
  <dcterms:modified xsi:type="dcterms:W3CDTF">2025-09-08T21:17:46Z</dcterms:modified>
</cp:coreProperties>
</file>